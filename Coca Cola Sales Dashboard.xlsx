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abaa\Downloads\"/>
    </mc:Choice>
  </mc:AlternateContent>
  <xr:revisionPtr revIDLastSave="0" documentId="13_ncr:1_{E26A2D8C-5DF7-4D65-95EF-3C596947E76E}" xr6:coauthVersionLast="47" xr6:coauthVersionMax="47" xr10:uidLastSave="{00000000-0000-0000-0000-000000000000}"/>
  <bookViews>
    <workbookView xWindow="-110" yWindow="-110" windowWidth="19420" windowHeight="11500" xr2:uid="{00000000-000D-0000-FFFF-FFFF00000000}"/>
  </bookViews>
  <sheets>
    <sheet name="Data" sheetId="1" r:id="rId1"/>
    <sheet name="Analyze" sheetId="8" r:id="rId2"/>
    <sheet name="Dashboard" sheetId="6" r:id="rId3"/>
  </sheets>
  <definedNames>
    <definedName name="Slicer_Region">#N/A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6" l="1"/>
  <c r="J16" i="6"/>
  <c r="I17" i="6"/>
  <c r="J17" i="6"/>
  <c r="K17" i="6" s="1"/>
  <c r="I18" i="6"/>
  <c r="J18" i="6"/>
  <c r="I19" i="6"/>
  <c r="J19" i="6"/>
  <c r="K19" i="6" s="1"/>
  <c r="I20" i="6"/>
  <c r="J20" i="6"/>
  <c r="I21" i="6"/>
  <c r="J21" i="6"/>
  <c r="K21" i="6" s="1"/>
  <c r="I22" i="6"/>
  <c r="J22" i="6"/>
  <c r="H17" i="6"/>
  <c r="H18" i="6"/>
  <c r="H19" i="6"/>
  <c r="H20" i="6"/>
  <c r="H21" i="6"/>
  <c r="H16" i="6"/>
  <c r="D16" i="6"/>
  <c r="E16" i="6"/>
  <c r="D17" i="6"/>
  <c r="E17" i="6"/>
  <c r="F17" i="6" s="1"/>
  <c r="D18" i="6"/>
  <c r="E18" i="6"/>
  <c r="D19" i="6"/>
  <c r="E19" i="6"/>
  <c r="D20" i="6"/>
  <c r="E20" i="6"/>
  <c r="D21" i="6"/>
  <c r="E21" i="6"/>
  <c r="F21" i="6" s="1"/>
  <c r="D22" i="6"/>
  <c r="E22" i="6"/>
  <c r="C17" i="6"/>
  <c r="C18" i="6"/>
  <c r="C19" i="6"/>
  <c r="C20" i="6"/>
  <c r="C21" i="6"/>
  <c r="C16" i="6"/>
  <c r="F19" i="8"/>
  <c r="G19" i="8"/>
  <c r="H19" i="8"/>
  <c r="F20" i="8"/>
  <c r="G20" i="8"/>
  <c r="H20" i="8"/>
  <c r="F21" i="8"/>
  <c r="G21" i="8"/>
  <c r="H21" i="8"/>
  <c r="F22" i="8"/>
  <c r="G22" i="8"/>
  <c r="H22" i="8"/>
  <c r="F23" i="8"/>
  <c r="G23" i="8"/>
  <c r="H23" i="8"/>
  <c r="F24" i="8"/>
  <c r="G24" i="8"/>
  <c r="H24" i="8"/>
  <c r="F25" i="8"/>
  <c r="G25" i="8"/>
  <c r="H25" i="8"/>
  <c r="F26" i="8"/>
  <c r="G26" i="8"/>
  <c r="H26" i="8"/>
  <c r="E20" i="8"/>
  <c r="E21" i="8"/>
  <c r="E22" i="8"/>
  <c r="E23" i="8"/>
  <c r="E24" i="8"/>
  <c r="E25" i="8"/>
  <c r="E26" i="8"/>
  <c r="E19" i="8"/>
  <c r="F22" i="6" l="1"/>
  <c r="F20" i="6"/>
  <c r="K18" i="6"/>
  <c r="K16" i="6"/>
  <c r="K22" i="6"/>
  <c r="K20" i="6"/>
  <c r="F18" i="6"/>
  <c r="F16" i="6"/>
  <c r="F19" i="6"/>
</calcChain>
</file>

<file path=xl/sharedStrings.xml><?xml version="1.0" encoding="utf-8"?>
<sst xmlns="http://schemas.openxmlformats.org/spreadsheetml/2006/main" count="48310" uniqueCount="156">
  <si>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</si>
  <si>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</si>
  <si>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</si>
  <si>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</si>
  <si>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</si>
  <si>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</si>
  <si>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</si>
  <si>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</si>
  <si>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</si>
  <si>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</si>
  <si>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</si>
  <si>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</si>
  <si>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</si>
  <si>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</si>
  <si>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</si>
  <si>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</si>
  <si>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</si>
  <si>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</si>
  <si>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</si>
  <si>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</si>
  <si>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</si>
  <si>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</si>
  <si>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</si>
  <si>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</si>
  <si>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</si>
  <si>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</si>
  <si>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</si>
  <si>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</si>
  <si>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</si>
  <si>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</si>
  <si>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</si>
  <si>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</si>
  <si>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</si>
  <si>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</si>
  <si>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</si>
  <si>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</si>
  <si>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</si>
  <si>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</si>
  <si>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</si>
  <si>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</si>
  <si>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</si>
  <si>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</si>
  <si>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</si>
  <si>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</si>
  <si>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</si>
  <si>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</si>
  <si>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</si>
  <si>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</si>
  <si>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</si>
  <si>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</si>
  <si>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</si>
  <si>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</si>
  <si>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</si>
  <si>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</si>
  <si>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</si>
  <si>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</si>
  <si>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</si>
  <si>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</si>
  <si>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</si>
  <si>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</si>
  <si>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</si>
  <si>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</si>
  <si>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</si>
  <si>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</si>
  <si>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</si>
  <si>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</si>
  <si>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</si>
  <si>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</si>
  <si>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</si>
  <si>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</si>
  <si>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</si>
  <si>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</si>
  <si>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</si>
  <si>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</si>
  <si>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</si>
  <si>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</si>
  <si>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</si>
  <si>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</si>
  <si>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</si>
  <si>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</si>
  <si>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</si>
  <si>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</si>
  <si>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</si>
  <si>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</si>
  <si>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</si>
  <si>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</si>
  <si>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</si>
  <si>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</si>
  <si>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</si>
  <si>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</si>
  <si>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</si>
  <si>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</si>
  <si>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</si>
  <si>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</si>
  <si>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</si>
  <si>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</si>
  <si>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</si>
  <si>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</si>
  <si>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</si>
  <si>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</si>
  <si>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</si>
  <si>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</si>
  <si>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</si>
  <si>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</si>
  <si>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</si>
  <si>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</si>
  <si>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</si>
  <si>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</si>
  <si>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</si>
  <si>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</si>
  <si>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</si>
  <si>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</si>
  <si>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</si>
  <si>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</si>
  <si>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</si>
  <si>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</si>
  <si>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</si>
  <si>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</si>
  <si>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</si>
  <si>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</si>
  <si>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</si>
  <si>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</si>
  <si>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</si>
  <si>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</si>
  <si>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</si>
  <si>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</si>
  <si>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</si>
  <si>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</si>
  <si>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</si>
  <si>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</si>
  <si>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</si>
  <si>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Retailer</t>
  </si>
  <si>
    <t>Sales by beverage Brand</t>
  </si>
  <si>
    <t>Brand</t>
  </si>
  <si>
    <t>Sales 2022</t>
  </si>
  <si>
    <t>Sales 2023</t>
  </si>
  <si>
    <t>Variance</t>
  </si>
  <si>
    <t xml:space="preserve">Variance </t>
  </si>
  <si>
    <t>Sum of Total Sales</t>
  </si>
  <si>
    <t>Sum of Units Sold</t>
  </si>
  <si>
    <t>Average of Price per Unit</t>
  </si>
  <si>
    <t>Sum of Operating Profit</t>
  </si>
  <si>
    <t>Row Labels</t>
  </si>
  <si>
    <t>Grand Total</t>
  </si>
  <si>
    <t>Column Labels</t>
  </si>
  <si>
    <t>2022</t>
  </si>
  <si>
    <t>2023</t>
  </si>
  <si>
    <t>Qtr1</t>
  </si>
  <si>
    <t>Qtr2</t>
  </si>
  <si>
    <t>Qtr3</t>
  </si>
  <si>
    <t>Qtr4</t>
  </si>
  <si>
    <t>Average of Operating Margin</t>
  </si>
  <si>
    <t>Years</t>
  </si>
  <si>
    <t>Quarters</t>
  </si>
  <si>
    <t>Total</t>
  </si>
  <si>
    <t>Sales and Operating Profit margin by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</si>
</sst>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C09]#,##0.00"/>
  </numFmts>
  <fonts count="8"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4"/>
      <color theme="0"/>
      <name val="Calibri"/>
      <family val="2"/>
      <scheme val="minor"/>
    </font>
    <font>
      <b/>
      <sz val="16"/>
      <color theme="0"/>
      <name val="Calibri"/>
      <family val="2"/>
      <scheme val="minor"/>
    </font>
    <font>
      <b/>
      <sz val="12"/>
      <color theme="1"/>
      <name val="Calibri"/>
      <family val="2"/>
      <scheme val="minor"/>
    </font>
  </fonts>
  <fills count="7">
    <fill>
      <patternFill patternType="none"/>
    </fill>
    <fill>
      <patternFill patternType="gray125"/>
    </fill>
    <fill>
      <patternFill patternType="solid">
        <fgColor rgb="FF2A3E68"/>
        <bgColor indexed="64"/>
      </patternFill>
    </fill>
    <fill>
      <patternFill patternType="solid">
        <fgColor rgb="FF002060"/>
        <bgColor indexed="64"/>
      </patternFill>
    </fill>
    <fill>
      <patternFill patternType="solid">
        <fgColor theme="0"/>
        <bgColor indexed="64"/>
      </patternFill>
    </fill>
    <fill>
      <patternFill patternType="solid">
        <fgColor theme="4" tint="-0.249977111117893"/>
        <bgColor indexed="64"/>
      </patternFill>
    </fill>
    <fill>
      <patternFill patternType="solid">
        <fgColor rgb="FFFFFF99"/>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2" fillId="4" borderId="0" xfId="0" applyFont="1" applyFill="1" applyAlignment="1">
      <alignment horizontal="centerContinuous"/>
    </xf>
    <xf numFmtId="0" fontId="2" fillId="4" borderId="0" xfId="0" applyFont="1" applyFill="1"/>
    <xf numFmtId="0" fontId="6" fillId="3" borderId="0" xfId="0" applyFont="1" applyFill="1" applyAlignment="1">
      <alignment horizontal="centerContinuous"/>
    </xf>
    <xf numFmtId="0" fontId="5" fillId="5" borderId="0" xfId="0" applyFont="1" applyFill="1"/>
    <xf numFmtId="0" fontId="0" fillId="0" borderId="0" xfId="0" pivotButton="1"/>
    <xf numFmtId="0" fontId="0" fillId="0" borderId="0" xfId="0" applyAlignment="1">
      <alignment horizontal="left"/>
    </xf>
    <xf numFmtId="3" fontId="0" fillId="0" borderId="0" xfId="0" applyNumberFormat="1"/>
    <xf numFmtId="0" fontId="0" fillId="6" borderId="2" xfId="0" applyFill="1" applyBorder="1"/>
    <xf numFmtId="3" fontId="0" fillId="6" borderId="2" xfId="0" applyNumberFormat="1" applyFill="1" applyBorder="1"/>
    <xf numFmtId="0" fontId="7" fillId="6" borderId="2" xfId="0" applyFont="1" applyFill="1" applyBorder="1"/>
    <xf numFmtId="3" fontId="7" fillId="6" borderId="2" xfId="0" applyNumberFormat="1" applyFont="1" applyFill="1" applyBorder="1"/>
    <xf numFmtId="164" fontId="0" fillId="0" borderId="0" xfId="0" applyNumberFormat="1"/>
  </cellXfs>
  <cellStyles count="2">
    <cellStyle name="Hyperlink 2" xfId="1" xr:uid="{00000000-0005-0000-0000-000000000000}"/>
    <cellStyle name="Normal" xfId="0" builtinId="0"/>
  </cellStyles>
  <dxfs count="25">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71"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
      <numFmt numFmtId="164" formatCode="[$$-C09]#,##0.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3" formatCode="#,##0"/>
    </dxf>
    <dxf>
      <numFmt numFmtId="3" formatCode="#,##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rgbClr val="002060"/>
            </a:solidFill>
            <a:ln>
              <a:noFill/>
            </a:ln>
            <a:effectLst/>
          </c:spPr>
          <c:invertIfNegative val="0"/>
          <c:cat>
            <c:multiLvlStrRef>
              <c:f>Analyze!$E$19:$F$26</c:f>
              <c:multiLvlStrCache>
                <c:ptCount val="8"/>
                <c:lvl>
                  <c:pt idx="0">
                    <c:v>Qtr1</c:v>
                  </c:pt>
                  <c:pt idx="1">
                    <c:v>Qtr2</c:v>
                  </c:pt>
                  <c:pt idx="2">
                    <c:v>Qtr3</c:v>
                  </c:pt>
                  <c:pt idx="3">
                    <c:v>Qtr1</c:v>
                  </c:pt>
                  <c:pt idx="4">
                    <c:v>Qtr2</c:v>
                  </c:pt>
                  <c:pt idx="5">
                    <c:v>Qtr3</c:v>
                  </c:pt>
                  <c:pt idx="6">
                    <c:v>Qtr4</c:v>
                  </c:pt>
                  <c:pt idx="7">
                    <c:v>0</c:v>
                  </c:pt>
                </c:lvl>
                <c:lvl>
                  <c:pt idx="0">
                    <c:v>2022</c:v>
                  </c:pt>
                  <c:pt idx="1">
                    <c:v>0</c:v>
                  </c:pt>
                  <c:pt idx="2">
                    <c:v>0</c:v>
                  </c:pt>
                  <c:pt idx="3">
                    <c:v>2023</c:v>
                  </c:pt>
                  <c:pt idx="4">
                    <c:v>0</c:v>
                  </c:pt>
                  <c:pt idx="5">
                    <c:v>0</c:v>
                  </c:pt>
                  <c:pt idx="6">
                    <c:v>0</c:v>
                  </c:pt>
                  <c:pt idx="7">
                    <c:v>Grand Total</c:v>
                  </c:pt>
                </c:lvl>
              </c:multiLvlStrCache>
            </c:multiLvlStrRef>
          </c:cat>
          <c:val>
            <c:numRef>
              <c:f>Analyze!$G$19:$G$26</c:f>
              <c:numCache>
                <c:formatCode>General</c:formatCode>
                <c:ptCount val="8"/>
                <c:pt idx="0">
                  <c:v>368924.1999999999</c:v>
                </c:pt>
                <c:pt idx="1">
                  <c:v>186231.5</c:v>
                </c:pt>
                <c:pt idx="2">
                  <c:v>25970.199999999997</c:v>
                </c:pt>
                <c:pt idx="3">
                  <c:v>302917.39999999997</c:v>
                </c:pt>
                <c:pt idx="4">
                  <c:v>406501.3</c:v>
                </c:pt>
                <c:pt idx="5">
                  <c:v>479806.80000000005</c:v>
                </c:pt>
                <c:pt idx="6">
                  <c:v>737475.3</c:v>
                </c:pt>
                <c:pt idx="7">
                  <c:v>2507826.7000000007</c:v>
                </c:pt>
              </c:numCache>
            </c:numRef>
          </c:val>
          <c:extLst>
            <c:ext xmlns:c16="http://schemas.microsoft.com/office/drawing/2014/chart" uri="{C3380CC4-5D6E-409C-BE32-E72D297353CC}">
              <c16:uniqueId val="{00000000-CD0F-4FE3-AAEA-3B79D4BA6B33}"/>
            </c:ext>
          </c:extLst>
        </c:ser>
        <c:dLbls>
          <c:showLegendKey val="0"/>
          <c:showVal val="0"/>
          <c:showCatName val="0"/>
          <c:showSerName val="0"/>
          <c:showPercent val="0"/>
          <c:showBubbleSize val="0"/>
        </c:dLbls>
        <c:gapWidth val="219"/>
        <c:axId val="2019369536"/>
        <c:axId val="2019370016"/>
      </c:barChart>
      <c:lineChart>
        <c:grouping val="standard"/>
        <c:varyColors val="0"/>
        <c:ser>
          <c:idx val="1"/>
          <c:order val="1"/>
          <c:tx>
            <c:v>Operatig Profit Margin</c:v>
          </c:tx>
          <c:spPr>
            <a:ln w="28575" cap="rnd">
              <a:solidFill>
                <a:srgbClr val="C00000"/>
              </a:solidFill>
              <a:round/>
            </a:ln>
            <a:effectLst/>
          </c:spPr>
          <c:marker>
            <c:symbol val="circle"/>
            <c:size val="5"/>
            <c:spPr>
              <a:solidFill>
                <a:schemeClr val="bg1"/>
              </a:solidFill>
              <a:ln w="12700">
                <a:solidFill>
                  <a:srgbClr val="C00000"/>
                </a:solidFill>
              </a:ln>
              <a:effectLst/>
            </c:spPr>
          </c:marker>
          <c:cat>
            <c:multiLvlStrRef>
              <c:f>Analyze!$E$19:$F$26</c:f>
              <c:multiLvlStrCache>
                <c:ptCount val="8"/>
                <c:lvl>
                  <c:pt idx="0">
                    <c:v>Qtr1</c:v>
                  </c:pt>
                  <c:pt idx="1">
                    <c:v>Qtr2</c:v>
                  </c:pt>
                  <c:pt idx="2">
                    <c:v>Qtr3</c:v>
                  </c:pt>
                  <c:pt idx="3">
                    <c:v>Qtr1</c:v>
                  </c:pt>
                  <c:pt idx="4">
                    <c:v>Qtr2</c:v>
                  </c:pt>
                  <c:pt idx="5">
                    <c:v>Qtr3</c:v>
                  </c:pt>
                  <c:pt idx="6">
                    <c:v>Qtr4</c:v>
                  </c:pt>
                  <c:pt idx="7">
                    <c:v>0</c:v>
                  </c:pt>
                </c:lvl>
                <c:lvl>
                  <c:pt idx="0">
                    <c:v>2022</c:v>
                  </c:pt>
                  <c:pt idx="1">
                    <c:v>0</c:v>
                  </c:pt>
                  <c:pt idx="2">
                    <c:v>0</c:v>
                  </c:pt>
                  <c:pt idx="3">
                    <c:v>2023</c:v>
                  </c:pt>
                  <c:pt idx="4">
                    <c:v>0</c:v>
                  </c:pt>
                  <c:pt idx="5">
                    <c:v>0</c:v>
                  </c:pt>
                  <c:pt idx="6">
                    <c:v>0</c:v>
                  </c:pt>
                  <c:pt idx="7">
                    <c:v>Grand Total</c:v>
                  </c:pt>
                </c:lvl>
              </c:multiLvlStrCache>
            </c:multiLvlStrRef>
          </c:cat>
          <c:val>
            <c:numRef>
              <c:f>Analyze!$H$19:$H$26</c:f>
              <c:numCache>
                <c:formatCode>General</c:formatCode>
                <c:ptCount val="8"/>
                <c:pt idx="0">
                  <c:v>0.3983660130718954</c:v>
                </c:pt>
                <c:pt idx="1">
                  <c:v>0.39063492063492067</c:v>
                </c:pt>
                <c:pt idx="2">
                  <c:v>0.40266666666666662</c:v>
                </c:pt>
                <c:pt idx="3">
                  <c:v>0.40524017467249013</c:v>
                </c:pt>
                <c:pt idx="4">
                  <c:v>0.41293333333333443</c:v>
                </c:pt>
                <c:pt idx="5">
                  <c:v>0.41252212389380666</c:v>
                </c:pt>
                <c:pt idx="6">
                  <c:v>0.41496815286624206</c:v>
                </c:pt>
                <c:pt idx="7">
                  <c:v>0.41045033670033432</c:v>
                </c:pt>
              </c:numCache>
            </c:numRef>
          </c:val>
          <c:smooth val="0"/>
          <c:extLst>
            <c:ext xmlns:c16="http://schemas.microsoft.com/office/drawing/2014/chart" uri="{C3380CC4-5D6E-409C-BE32-E72D297353CC}">
              <c16:uniqueId val="{00000001-CD0F-4FE3-AAEA-3B79D4BA6B33}"/>
            </c:ext>
          </c:extLst>
        </c:ser>
        <c:dLbls>
          <c:showLegendKey val="0"/>
          <c:showVal val="0"/>
          <c:showCatName val="0"/>
          <c:showSerName val="0"/>
          <c:showPercent val="0"/>
          <c:showBubbleSize val="0"/>
        </c:dLbls>
        <c:marker val="1"/>
        <c:smooth val="0"/>
        <c:axId val="2019366656"/>
        <c:axId val="2019350336"/>
      </c:lineChart>
      <c:catAx>
        <c:axId val="201936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19370016"/>
        <c:crosses val="autoZero"/>
        <c:auto val="1"/>
        <c:lblAlgn val="ctr"/>
        <c:lblOffset val="100"/>
        <c:noMultiLvlLbl val="0"/>
      </c:catAx>
      <c:valAx>
        <c:axId val="2019370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19369536"/>
        <c:crosses val="autoZero"/>
        <c:crossBetween val="between"/>
      </c:valAx>
      <c:valAx>
        <c:axId val="20193503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19366656"/>
        <c:crosses val="max"/>
        <c:crossBetween val="between"/>
      </c:valAx>
      <c:catAx>
        <c:axId val="2019366656"/>
        <c:scaling>
          <c:orientation val="minMax"/>
        </c:scaling>
        <c:delete val="1"/>
        <c:axPos val="b"/>
        <c:numFmt formatCode="General" sourceLinked="1"/>
        <c:majorTickMark val="out"/>
        <c:minorTickMark val="none"/>
        <c:tickLblPos val="nextTo"/>
        <c:crossAx val="20193503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838200</xdr:colOff>
      <xdr:row>1</xdr:row>
      <xdr:rowOff>76200</xdr:rowOff>
    </xdr:from>
    <xdr:to>
      <xdr:col>10</xdr:col>
      <xdr:colOff>983901</xdr:colOff>
      <xdr:row>6</xdr:row>
      <xdr:rowOff>0</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795535" y="275074"/>
          <a:ext cx="9859108" cy="918168"/>
        </a:xfrm>
        <a:prstGeom prst="rect">
          <a:avLst/>
        </a:prstGeom>
        <a:solidFill>
          <a:srgbClr val="00206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Coca-Cola USA Retailer Dashboard</a:t>
          </a:r>
        </a:p>
      </xdr:txBody>
    </xdr:sp>
    <xdr:clientData/>
  </xdr:twoCellAnchor>
  <xdr:twoCellAnchor>
    <xdr:from>
      <xdr:col>2</xdr:col>
      <xdr:colOff>10467</xdr:colOff>
      <xdr:row>7</xdr:row>
      <xdr:rowOff>64791</xdr:rowOff>
    </xdr:from>
    <xdr:to>
      <xdr:col>4</xdr:col>
      <xdr:colOff>73270</xdr:colOff>
      <xdr:row>11</xdr:row>
      <xdr:rowOff>187465</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3307582" y="1456906"/>
          <a:ext cx="2082941" cy="918169"/>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Sales</a:t>
          </a:r>
        </a:p>
      </xdr:txBody>
    </xdr:sp>
    <xdr:clientData/>
  </xdr:twoCellAnchor>
  <xdr:twoCellAnchor>
    <xdr:from>
      <xdr:col>4</xdr:col>
      <xdr:colOff>397749</xdr:colOff>
      <xdr:row>7</xdr:row>
      <xdr:rowOff>54323</xdr:rowOff>
    </xdr:from>
    <xdr:to>
      <xdr:col>6</xdr:col>
      <xdr:colOff>10467</xdr:colOff>
      <xdr:row>11</xdr:row>
      <xdr:rowOff>176997</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5715002" y="1446438"/>
          <a:ext cx="2020135" cy="918169"/>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Unit Sold</a:t>
          </a:r>
        </a:p>
      </xdr:txBody>
    </xdr:sp>
    <xdr:clientData/>
  </xdr:twoCellAnchor>
  <xdr:twoCellAnchor>
    <xdr:from>
      <xdr:col>6</xdr:col>
      <xdr:colOff>778328</xdr:colOff>
      <xdr:row>7</xdr:row>
      <xdr:rowOff>75257</xdr:rowOff>
    </xdr:from>
    <xdr:to>
      <xdr:col>8</xdr:col>
      <xdr:colOff>1099039</xdr:colOff>
      <xdr:row>11</xdr:row>
      <xdr:rowOff>197931</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8021515" y="1467372"/>
          <a:ext cx="2121040" cy="918169"/>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Average Price</a:t>
          </a:r>
        </a:p>
      </xdr:txBody>
    </xdr:sp>
    <xdr:clientData/>
  </xdr:twoCellAnchor>
  <xdr:twoCellAnchor>
    <xdr:from>
      <xdr:col>9</xdr:col>
      <xdr:colOff>125604</xdr:colOff>
      <xdr:row>7</xdr:row>
      <xdr:rowOff>64790</xdr:rowOff>
    </xdr:from>
    <xdr:to>
      <xdr:col>10</xdr:col>
      <xdr:colOff>973434</xdr:colOff>
      <xdr:row>11</xdr:row>
      <xdr:rowOff>187464</xdr:rowOff>
    </xdr:to>
    <xdr:sp macro="" textlink="">
      <xdr:nvSpPr>
        <xdr:cNvPr id="6" name="Rectangle 5">
          <a:extLst>
            <a:ext uri="{FF2B5EF4-FFF2-40B4-BE49-F238E27FC236}">
              <a16:creationId xmlns:a16="http://schemas.microsoft.com/office/drawing/2014/main" id="{00000000-0008-0000-0300-000006000000}"/>
            </a:ext>
          </a:extLst>
        </xdr:cNvPr>
        <xdr:cNvSpPr/>
      </xdr:nvSpPr>
      <xdr:spPr>
        <a:xfrm>
          <a:off x="10529835" y="1456905"/>
          <a:ext cx="2166676" cy="918169"/>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Operating Profit</a:t>
          </a:r>
        </a:p>
      </xdr:txBody>
    </xdr:sp>
    <xdr:clientData/>
  </xdr:twoCellAnchor>
  <xdr:twoCellAnchor editAs="oneCell">
    <xdr:from>
      <xdr:col>0</xdr:col>
      <xdr:colOff>0</xdr:colOff>
      <xdr:row>0</xdr:row>
      <xdr:rowOff>3335</xdr:rowOff>
    </xdr:from>
    <xdr:to>
      <xdr:col>1</xdr:col>
      <xdr:colOff>10467</xdr:colOff>
      <xdr:row>5</xdr:row>
      <xdr:rowOff>188406</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335"/>
          <a:ext cx="2836566" cy="1179439"/>
        </a:xfrm>
        <a:prstGeom prst="rect">
          <a:avLst/>
        </a:prstGeom>
      </xdr:spPr>
    </xdr:pic>
    <xdr:clientData/>
  </xdr:twoCellAnchor>
  <xdr:twoCellAnchor editAs="oneCell">
    <xdr:from>
      <xdr:col>9</xdr:col>
      <xdr:colOff>795496</xdr:colOff>
      <xdr:row>1</xdr:row>
      <xdr:rowOff>146540</xdr:rowOff>
    </xdr:from>
    <xdr:to>
      <xdr:col>10</xdr:col>
      <xdr:colOff>826896</xdr:colOff>
      <xdr:row>5</xdr:row>
      <xdr:rowOff>154442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681210" y="345414"/>
          <a:ext cx="1350246" cy="803396"/>
        </a:xfrm>
        <a:prstGeom prst="rect">
          <a:avLst/>
        </a:prstGeom>
      </xdr:spPr>
    </xdr:pic>
    <xdr:clientData/>
  </xdr:twoCellAnchor>
  <xdr:twoCellAnchor>
    <xdr:from>
      <xdr:col>2</xdr:col>
      <xdr:colOff>282611</xdr:colOff>
      <xdr:row>8</xdr:row>
      <xdr:rowOff>73270</xdr:rowOff>
    </xdr:from>
    <xdr:to>
      <xdr:col>4</xdr:col>
      <xdr:colOff>198874</xdr:colOff>
      <xdr:row>12</xdr:row>
      <xdr:rowOff>10467</xdr:rowOff>
    </xdr:to>
    <xdr:sp macro="" textlink="Analyze!A4">
      <xdr:nvSpPr>
        <xdr:cNvPr id="11" name="TextBox 10">
          <a:extLst>
            <a:ext uri="{FF2B5EF4-FFF2-40B4-BE49-F238E27FC236}">
              <a16:creationId xmlns:a16="http://schemas.microsoft.com/office/drawing/2014/main" id="{00000000-0008-0000-0300-00000B000000}"/>
            </a:ext>
          </a:extLst>
        </xdr:cNvPr>
        <xdr:cNvSpPr txBox="1"/>
      </xdr:nvSpPr>
      <xdr:spPr>
        <a:xfrm>
          <a:off x="3579726" y="1664259"/>
          <a:ext cx="1936401" cy="732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BE566C-8941-451F-888C-80C06FFC045B}" type="TxLink">
            <a:rPr lang="en-US" sz="2400" b="1" i="0" u="none" strike="noStrike">
              <a:solidFill>
                <a:schemeClr val="bg1"/>
              </a:solidFill>
              <a:latin typeface="Calibri"/>
              <a:cs typeface="Calibri"/>
            </a:rPr>
            <a:pPr/>
            <a:t>1,926,701</a:t>
          </a:fld>
          <a:endParaRPr lang="en-US" sz="2400" b="1">
            <a:solidFill>
              <a:schemeClr val="bg1"/>
            </a:solidFill>
          </a:endParaRPr>
        </a:p>
      </xdr:txBody>
    </xdr:sp>
    <xdr:clientData/>
  </xdr:twoCellAnchor>
  <xdr:twoCellAnchor>
    <xdr:from>
      <xdr:col>4</xdr:col>
      <xdr:colOff>617556</xdr:colOff>
      <xdr:row>8</xdr:row>
      <xdr:rowOff>94203</xdr:rowOff>
    </xdr:from>
    <xdr:to>
      <xdr:col>6</xdr:col>
      <xdr:colOff>20935</xdr:colOff>
      <xdr:row>11</xdr:row>
      <xdr:rowOff>167472</xdr:rowOff>
    </xdr:to>
    <xdr:sp macro="" textlink="Analyze!B4">
      <xdr:nvSpPr>
        <xdr:cNvPr id="12" name="TextBox 11">
          <a:extLst>
            <a:ext uri="{FF2B5EF4-FFF2-40B4-BE49-F238E27FC236}">
              <a16:creationId xmlns:a16="http://schemas.microsoft.com/office/drawing/2014/main" id="{00000000-0008-0000-0300-00000C000000}"/>
            </a:ext>
          </a:extLst>
        </xdr:cNvPr>
        <xdr:cNvSpPr txBox="1"/>
      </xdr:nvSpPr>
      <xdr:spPr>
        <a:xfrm>
          <a:off x="5934809" y="1685192"/>
          <a:ext cx="1810796" cy="66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9E0911-4B57-4DC5-AA91-7F586F8B04F4}" type="TxLink">
            <a:rPr lang="en-US" sz="2400" b="1" i="0" u="none" strike="noStrike">
              <a:solidFill>
                <a:schemeClr val="bg1"/>
              </a:solidFill>
              <a:latin typeface="Calibri"/>
              <a:ea typeface="+mn-ea"/>
              <a:cs typeface="Calibri"/>
            </a:rPr>
            <a:pPr marL="0" indent="0"/>
            <a:t>3,862,680</a:t>
          </a:fld>
          <a:endParaRPr lang="en-US" sz="2400" b="1" i="0" u="none" strike="noStrike">
            <a:solidFill>
              <a:schemeClr val="bg1"/>
            </a:solidFill>
            <a:latin typeface="Calibri"/>
            <a:ea typeface="+mn-ea"/>
            <a:cs typeface="Calibri"/>
          </a:endParaRPr>
        </a:p>
      </xdr:txBody>
    </xdr:sp>
    <xdr:clientData/>
  </xdr:twoCellAnchor>
  <xdr:twoCellAnchor>
    <xdr:from>
      <xdr:col>7</xdr:col>
      <xdr:colOff>659425</xdr:colOff>
      <xdr:row>8</xdr:row>
      <xdr:rowOff>136072</xdr:rowOff>
    </xdr:from>
    <xdr:to>
      <xdr:col>8</xdr:col>
      <xdr:colOff>900165</xdr:colOff>
      <xdr:row>11</xdr:row>
      <xdr:rowOff>177940</xdr:rowOff>
    </xdr:to>
    <xdr:sp macro="" textlink="Analyze!C4">
      <xdr:nvSpPr>
        <xdr:cNvPr id="13" name="TextBox 12">
          <a:extLst>
            <a:ext uri="{FF2B5EF4-FFF2-40B4-BE49-F238E27FC236}">
              <a16:creationId xmlns:a16="http://schemas.microsoft.com/office/drawing/2014/main" id="{00000000-0008-0000-0300-00000D000000}"/>
            </a:ext>
          </a:extLst>
        </xdr:cNvPr>
        <xdr:cNvSpPr txBox="1"/>
      </xdr:nvSpPr>
      <xdr:spPr>
        <a:xfrm>
          <a:off x="9179590" y="1727061"/>
          <a:ext cx="1245575" cy="638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884661-88B9-4CFC-8B97-9F3593F4D448}" type="TxLink">
            <a:rPr lang="en-US" sz="2400" b="1" i="0" u="none" strike="noStrike">
              <a:solidFill>
                <a:schemeClr val="bg1"/>
              </a:solidFill>
              <a:latin typeface="Calibri"/>
              <a:ea typeface="+mn-ea"/>
              <a:cs typeface="Calibri"/>
            </a:rPr>
            <a:pPr marL="0" indent="0"/>
            <a:t>$0.47</a:t>
          </a:fld>
          <a:endParaRPr lang="en-US" sz="2400" b="1" i="0" u="none" strike="noStrike">
            <a:solidFill>
              <a:schemeClr val="bg1"/>
            </a:solidFill>
            <a:latin typeface="Calibri"/>
            <a:ea typeface="+mn-ea"/>
            <a:cs typeface="Calibri"/>
          </a:endParaRPr>
        </a:p>
      </xdr:txBody>
    </xdr:sp>
    <xdr:clientData/>
  </xdr:twoCellAnchor>
  <xdr:twoCellAnchor>
    <xdr:from>
      <xdr:col>9</xdr:col>
      <xdr:colOff>450085</xdr:colOff>
      <xdr:row>8</xdr:row>
      <xdr:rowOff>73269</xdr:rowOff>
    </xdr:from>
    <xdr:to>
      <xdr:col>10</xdr:col>
      <xdr:colOff>942035</xdr:colOff>
      <xdr:row>11</xdr:row>
      <xdr:rowOff>146538</xdr:rowOff>
    </xdr:to>
    <xdr:sp macro="" textlink="Analyze!D4">
      <xdr:nvSpPr>
        <xdr:cNvPr id="14" name="TextBox 13">
          <a:extLst>
            <a:ext uri="{FF2B5EF4-FFF2-40B4-BE49-F238E27FC236}">
              <a16:creationId xmlns:a16="http://schemas.microsoft.com/office/drawing/2014/main" id="{00000000-0008-0000-0300-00000E000000}"/>
            </a:ext>
          </a:extLst>
        </xdr:cNvPr>
        <xdr:cNvSpPr txBox="1"/>
      </xdr:nvSpPr>
      <xdr:spPr>
        <a:xfrm>
          <a:off x="11335799" y="1664258"/>
          <a:ext cx="1810796" cy="66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050DFD3-1AC5-45F9-AB41-D4A7ED4A2034}" type="TxLink">
            <a:rPr lang="en-US" sz="2400" b="1" i="0" u="none" strike="noStrike">
              <a:solidFill>
                <a:schemeClr val="bg1"/>
              </a:solidFill>
              <a:latin typeface="Calibri"/>
              <a:ea typeface="+mn-ea"/>
              <a:cs typeface="Calibri"/>
            </a:rPr>
            <a:pPr marL="0" indent="0"/>
            <a:t>756,866</a:t>
          </a:fld>
          <a:endParaRPr lang="en-US" sz="2400" b="1" i="0" u="none" strike="noStrike">
            <a:solidFill>
              <a:schemeClr val="bg1"/>
            </a:solidFill>
            <a:latin typeface="Calibri"/>
            <a:ea typeface="+mn-ea"/>
            <a:cs typeface="Calibri"/>
          </a:endParaRPr>
        </a:p>
      </xdr:txBody>
    </xdr:sp>
    <xdr:clientData/>
  </xdr:twoCellAnchor>
  <xdr:twoCellAnchor>
    <xdr:from>
      <xdr:col>1</xdr:col>
      <xdr:colOff>450083</xdr:colOff>
      <xdr:row>25</xdr:row>
      <xdr:rowOff>10467</xdr:rowOff>
    </xdr:from>
    <xdr:to>
      <xdr:col>11</xdr:col>
      <xdr:colOff>0</xdr:colOff>
      <xdr:row>41</xdr:row>
      <xdr:rowOff>167472</xdr:rowOff>
    </xdr:to>
    <xdr:graphicFrame macro="">
      <xdr:nvGraphicFramePr>
        <xdr:cNvPr id="7" name="Chart 6">
          <a:extLst>
            <a:ext uri="{FF2B5EF4-FFF2-40B4-BE49-F238E27FC236}">
              <a16:creationId xmlns:a16="http://schemas.microsoft.com/office/drawing/2014/main" id="{F3A78EC7-F215-4011-B073-0943D8A4E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272143</xdr:colOff>
      <xdr:row>6</xdr:row>
      <xdr:rowOff>125604</xdr:rowOff>
    </xdr:from>
    <xdr:to>
      <xdr:col>0</xdr:col>
      <xdr:colOff>2533023</xdr:colOff>
      <xdr:row>15</xdr:row>
      <xdr:rowOff>115137</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E4626E4-2114-4FD4-A72D-BB5FC2DD7F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2143" y="1382904"/>
              <a:ext cx="2260880" cy="197073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272142</xdr:colOff>
      <xdr:row>15</xdr:row>
      <xdr:rowOff>177940</xdr:rowOff>
    </xdr:from>
    <xdr:to>
      <xdr:col>0</xdr:col>
      <xdr:colOff>2533021</xdr:colOff>
      <xdr:row>21</xdr:row>
      <xdr:rowOff>13399</xdr:rowOff>
    </xdr:to>
    <mc:AlternateContent xmlns:mc="http://schemas.openxmlformats.org/markup-compatibility/2006" xmlns:a14="http://schemas.microsoft.com/office/drawing/2010/main">
      <mc:Choice Requires="a14">
        <xdr:graphicFrame macro="">
          <xdr:nvGraphicFramePr>
            <xdr:cNvPr id="15" name="Years">
              <a:extLst>
                <a:ext uri="{FF2B5EF4-FFF2-40B4-BE49-F238E27FC236}">
                  <a16:creationId xmlns:a16="http://schemas.microsoft.com/office/drawing/2014/main" id="{03F941BB-7F37-4A02-90EB-B23ABB01452C}"/>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72142" y="3416440"/>
              <a:ext cx="2260879" cy="109275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282610</xdr:colOff>
      <xdr:row>21</xdr:row>
      <xdr:rowOff>20936</xdr:rowOff>
    </xdr:from>
    <xdr:to>
      <xdr:col>0</xdr:col>
      <xdr:colOff>2365549</xdr:colOff>
      <xdr:row>22</xdr:row>
      <xdr:rowOff>125606</xdr:rowOff>
    </xdr:to>
    <xdr:sp macro="" textlink="">
      <xdr:nvSpPr>
        <xdr:cNvPr id="16" name="TextBox 15">
          <a:extLst>
            <a:ext uri="{FF2B5EF4-FFF2-40B4-BE49-F238E27FC236}">
              <a16:creationId xmlns:a16="http://schemas.microsoft.com/office/drawing/2014/main" id="{C7EBD246-8982-46E9-AA6D-A99C7C186F3B}"/>
            </a:ext>
          </a:extLst>
        </xdr:cNvPr>
        <xdr:cNvSpPr txBox="1"/>
      </xdr:nvSpPr>
      <xdr:spPr>
        <a:xfrm>
          <a:off x="282610" y="4301952"/>
          <a:ext cx="2082939" cy="303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bg1"/>
              </a:solidFill>
              <a:latin typeface="Calibri"/>
              <a:cs typeface="Calibri"/>
            </a:rPr>
            <a:t>Last Update Jan 2026</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4.015990162035" createdVersion="6" refreshedVersion="6" minRefreshableVersion="3" recordCount="9648" xr:uid="{00000000-000A-0000-FFFF-FFFF00000000}">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022"/>
          <s v="Jan"/>
          <s v="Feb"/>
          <s v="Mar"/>
          <s v="Apr"/>
          <s v="May"/>
          <s v="Jun"/>
          <s v="Jul"/>
          <s v="Aug"/>
          <s v="Sep"/>
          <s v="Oct"/>
          <s v="Nov"/>
          <s v="Dec"/>
          <s v="&gt;01/01/20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01/01/2022"/>
          <s v="Qtr1"/>
          <s v="Qtr2"/>
          <s v="Qtr3"/>
          <s v="Qtr4"/>
          <s v="&gt;01/01/2024"/>
        </groupItems>
      </fieldGroup>
    </cacheField>
    <cacheField name="Years"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505042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7:D15" firstHeaderRow="1" firstDataRow="2"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h="1" x="3"/>
        <item x="0"/>
        <item h="1" x="1"/>
        <item h="1" x="4"/>
        <item h="1" x="2"/>
        <item t="default"/>
      </items>
    </pivotField>
    <pivotField showAll="0"/>
    <pivotField showAll="0"/>
    <pivotField axis="axisRow"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6"/>
  </rowFields>
  <rowItems count="7">
    <i>
      <x/>
    </i>
    <i>
      <x v="1"/>
    </i>
    <i>
      <x v="2"/>
    </i>
    <i>
      <x v="3"/>
    </i>
    <i>
      <x v="4"/>
    </i>
    <i>
      <x v="5"/>
    </i>
    <i t="grand">
      <x/>
    </i>
  </rowItems>
  <colFields count="1">
    <field x="13"/>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4" firstHeaderRow="0"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h="1" x="3"/>
        <item x="0"/>
        <item h="1" x="1"/>
        <item h="1" x="4"/>
        <item h="1" x="2"/>
        <item t="default"/>
      </items>
    </pivotField>
    <pivotField showAll="0"/>
    <pivotField showAll="0"/>
    <pivotField showAll="0"/>
    <pivotField dataField="1" numFmtId="8" showAll="0"/>
    <pivotField dataField="1" numFmtId="3" showAll="0"/>
    <pivotField dataField="1" numFmtId="6" showAll="0"/>
    <pivotField dataField="1" numFmtId="6" showAll="0"/>
    <pivotField numFmtId="9" showAll="0"/>
    <pivotField showAll="0" defaultSubtotal="0">
      <items count="6">
        <item x="0"/>
        <item x="1"/>
        <item x="2"/>
        <item x="3"/>
        <item x="4"/>
        <item x="5"/>
      </items>
    </pivotField>
    <pivotField showAll="0" defaultSubtotal="0">
      <items count="5">
        <item h="1" x="0"/>
        <item h="1" x="1"/>
        <item x="2"/>
        <item h="1" x="3"/>
        <item h="1" x="4"/>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1" numFmtId="164"/>
    <dataField name="Sum of Operating Profit" fld="10" baseField="0" baseItem="0" numFmtId="3"/>
  </dataFields>
  <formats count="10">
    <format dxfId="24">
      <pivotArea outline="0" collapsedLevelsAreSubtotals="1" fieldPosition="0">
        <references count="1">
          <reference field="4294967294" count="1" selected="0">
            <x v="1"/>
          </reference>
        </references>
      </pivotArea>
    </format>
    <format dxfId="23">
      <pivotArea outline="0" collapsedLevelsAreSubtotals="1" fieldPosition="0">
        <references count="1">
          <reference field="4294967294" count="1" selected="0">
            <x v="3"/>
          </reference>
        </references>
      </pivotArea>
    </format>
    <format dxfId="22">
      <pivotArea outline="0" collapsedLevelsAreSubtotals="1" fieldPosition="0">
        <references count="1">
          <reference field="4294967294" count="1" selected="0">
            <x v="2"/>
          </reference>
        </references>
      </pivotArea>
    </format>
    <format dxfId="21">
      <pivotArea outline="0" collapsedLevelsAreSubtotals="1" fieldPosition="0">
        <references count="1">
          <reference field="4294967294" count="1" selected="0">
            <x v="2"/>
          </reference>
        </references>
      </pivotArea>
    </format>
    <format dxfId="20">
      <pivotArea outline="0" collapsedLevelsAreSubtotals="1" fieldPosition="0">
        <references count="1">
          <reference field="4294967294" count="1" selected="0">
            <x v="2"/>
          </reference>
        </references>
      </pivotArea>
    </format>
    <format dxfId="19">
      <pivotArea outline="0" collapsedLevelsAreSubtotals="1" fieldPosition="0">
        <references count="1">
          <reference field="4294967294" count="1" selected="0">
            <x v="2"/>
          </reference>
        </references>
      </pivotArea>
    </format>
    <format dxfId="18">
      <pivotArea outline="0" collapsedLevelsAreSubtotals="1" fieldPosition="0">
        <references count="1">
          <reference field="4294967294" count="1" selected="0">
            <x v="2"/>
          </reference>
        </references>
      </pivotArea>
    </format>
    <format dxfId="17">
      <pivotArea outline="0" collapsedLevelsAreSubtotals="1" fieldPosition="0">
        <references count="1">
          <reference field="4294967294" count="1" selected="0">
            <x v="2"/>
          </reference>
        </references>
      </pivotArea>
    </format>
    <format dxfId="16">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1:D39" firstHeaderRow="1" firstDataRow="2"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h="1" x="3"/>
        <item x="0"/>
        <item h="1" x="1"/>
        <item h="1" x="4"/>
        <item h="1" x="2"/>
        <item t="default"/>
      </items>
    </pivotField>
    <pivotField showAll="0"/>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0"/>
  </rowFields>
  <rowItems count="7">
    <i>
      <x/>
    </i>
    <i>
      <x v="1"/>
    </i>
    <i>
      <x v="2"/>
    </i>
    <i>
      <x v="3"/>
    </i>
    <i>
      <x v="4"/>
    </i>
    <i>
      <x v="5"/>
    </i>
    <i t="grand">
      <x/>
    </i>
  </rowItems>
  <colFields count="1">
    <field x="13"/>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18:D26" firstHeaderRow="0" firstDataRow="1" firstDataCol="2"/>
  <pivotFields count="14">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items count="6">
        <item h="1" x="3"/>
        <item x="0"/>
        <item h="1" x="1"/>
        <item h="1" x="4"/>
        <item h="1" x="2"/>
        <item t="default"/>
      </items>
    </pivotField>
    <pivotField compact="0" outline="0" showAll="0"/>
    <pivotField compact="0" outline="0" showAll="0"/>
    <pivotField compact="0" outline="0" showAll="0">
      <items count="7">
        <item x="0"/>
        <item x="5"/>
        <item x="1"/>
        <item x="3"/>
        <item x="4"/>
        <item x="2"/>
        <item t="default"/>
      </items>
    </pivotField>
    <pivotField compact="0" numFmtId="8" outline="0" showAll="0"/>
    <pivotField compact="0" numFmtId="3" outline="0" showAll="0"/>
    <pivotField dataField="1" compact="0" numFmtId="6" outline="0" showAll="0"/>
    <pivotField compact="0" numFmtId="6" outline="0" showAll="0"/>
    <pivotField dataField="1" compact="0" numFmtId="9" outline="0" showAll="0"/>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3"/>
    <field x="12"/>
  </rowFields>
  <rowItems count="8">
    <i>
      <x v="1"/>
      <x v="1"/>
    </i>
    <i r="1">
      <x v="2"/>
    </i>
    <i r="1">
      <x v="3"/>
    </i>
    <i>
      <x v="2"/>
      <x v="1"/>
    </i>
    <i r="1">
      <x v="2"/>
    </i>
    <i r="1">
      <x v="3"/>
    </i>
    <i r="1">
      <x v="4"/>
    </i>
    <i t="grand">
      <x/>
    </i>
  </rowItems>
  <colFields count="1">
    <field x="-2"/>
  </colFields>
  <colItems count="2">
    <i>
      <x/>
    </i>
    <i i="1">
      <x v="1"/>
    </i>
  </colItems>
  <dataFields count="2">
    <dataField name="Sum of Total Sales" fld="9" baseField="0" baseItem="0"/>
    <dataField name="Average of Operating Margin" fld="11"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DA3704-435B-480B-8F93-08B9E151DB0E}" sourceName="Region">
  <pivotTables>
    <pivotTable tabId="8" name="PivotTable1"/>
    <pivotTable tabId="8" name="PivotTable2"/>
    <pivotTable tabId="8" name="PivotTable3"/>
    <pivotTable tabId="8" name="PivotTable4"/>
  </pivotTables>
  <data>
    <tabular pivotCacheId="1505042768">
      <items count="5">
        <i x="3"/>
        <i x="0" s="1"/>
        <i x="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FDCBE366-C563-4F44-8249-838AEFDA33B4}" sourceName="Years">
  <pivotTables>
    <pivotTable tabId="8" name="PivotTable1"/>
  </pivotTables>
  <data>
    <tabular pivotCacheId="1505042768">
      <items count="5">
        <i x="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D99BBE4-5516-4C58-8D9A-FC8E2E784264}" cache="Slicer_Region" caption="Region" rowHeight="257175"/>
  <slicer name="Years" xr10:uid="{822B3D49-BF12-42DE-9024-058D778B2B27}" cache="Slicer_Years" caption="Year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M9652" totalsRowShown="0" headerRowDxfId="14" dataDxfId="13" tableBorderDxfId="12">
  <autoFilter ref="B4:M9652" xr:uid="{00000000-0009-0000-0100-000001000000}"/>
  <tableColumns count="12">
    <tableColumn id="1" xr3:uid="{00000000-0010-0000-0000-000001000000}" name="Retailer" dataDxfId="11"/>
    <tableColumn id="2" xr3:uid="{00000000-0010-0000-0000-000002000000}" name="Retailer ID" dataDxfId="10"/>
    <tableColumn id="3" xr3:uid="{00000000-0010-0000-0000-000003000000}" name="Invoice Date" dataDxfId="9"/>
    <tableColumn id="4" xr3:uid="{00000000-0010-0000-0000-000004000000}" name="Region" dataDxfId="8"/>
    <tableColumn id="5" xr3:uid="{00000000-0010-0000-0000-000005000000}" name="State" dataDxfId="7"/>
    <tableColumn id="6" xr3:uid="{00000000-0010-0000-0000-000006000000}" name="City" dataDxfId="6"/>
    <tableColumn id="7" xr3:uid="{00000000-0010-0000-0000-000007000000}" name="Beverage Brand" dataDxfId="5"/>
    <tableColumn id="8" xr3:uid="{00000000-0010-0000-0000-000008000000}" name="Price per Unit" dataDxfId="4"/>
    <tableColumn id="9" xr3:uid="{00000000-0010-0000-0000-000009000000}" name="Units Sold" dataDxfId="3"/>
    <tableColumn id="10" xr3:uid="{00000000-0010-0000-0000-00000A000000}" name="Total Sales" dataDxfId="2"/>
    <tableColumn id="11" xr3:uid="{00000000-0010-0000-0000-00000B000000}" name="Operating Profit" dataDxfId="1"/>
    <tableColumn id="12" xr3:uid="{00000000-0010-0000-0000-00000C000000}"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9652"/>
  <sheetViews>
    <sheetView tabSelected="1" topLeftCell="B1" zoomScaleNormal="100" workbookViewId="0">
      <selection activeCell="D5" sqref="D5"/>
    </sheetView>
  </sheetViews>
  <sheetFormatPr defaultColWidth="11.25" defaultRowHeight="15.5" x14ac:dyDescent="0.3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5" x14ac:dyDescent="0.75">
      <c r="B2" s="9" t="s">
        <v>125</v>
      </c>
      <c r="C2" s="1"/>
      <c r="D2" s="1"/>
      <c r="E2" s="1"/>
      <c r="F2" s="1"/>
      <c r="G2" s="1"/>
      <c r="H2" s="1"/>
      <c r="I2" s="1"/>
      <c r="J2" s="1"/>
      <c r="K2" s="1"/>
      <c r="L2" s="1"/>
      <c r="M2" s="1"/>
    </row>
    <row r="4" spans="2:13" x14ac:dyDescent="0.35">
      <c r="B4" s="8" t="s">
        <v>0</v>
      </c>
      <c r="C4" s="8" t="s">
        <v>1</v>
      </c>
      <c r="D4" s="8" t="s">
        <v>2</v>
      </c>
      <c r="E4" s="8" t="s">
        <v>3</v>
      </c>
      <c r="F4" s="8" t="s">
        <v>4</v>
      </c>
      <c r="G4" s="8" t="s">
        <v>5</v>
      </c>
      <c r="H4" s="8" t="s">
        <v>6</v>
      </c>
      <c r="I4" s="8" t="s">
        <v>7</v>
      </c>
      <c r="J4" s="8" t="s">
        <v>8</v>
      </c>
      <c r="K4" s="8" t="s">
        <v>9</v>
      </c>
      <c r="L4" s="8" t="s">
        <v>10</v>
      </c>
      <c r="M4" s="8" t="s">
        <v>11</v>
      </c>
    </row>
    <row r="5" spans="2:13" x14ac:dyDescent="0.35">
      <c r="B5" s="2" t="s">
        <v>20</v>
      </c>
      <c r="C5" s="2">
        <v>1185732</v>
      </c>
      <c r="D5" s="3">
        <v>44562</v>
      </c>
      <c r="E5" s="2" t="s">
        <v>12</v>
      </c>
      <c r="F5" s="2" t="s">
        <v>13</v>
      </c>
      <c r="G5" s="2" t="s">
        <v>13</v>
      </c>
      <c r="H5" s="2" t="s">
        <v>14</v>
      </c>
      <c r="I5" s="4">
        <v>0.5</v>
      </c>
      <c r="J5" s="5">
        <v>12000</v>
      </c>
      <c r="K5" s="6">
        <v>6000</v>
      </c>
      <c r="L5" s="6">
        <v>3000</v>
      </c>
      <c r="M5" s="7">
        <v>0.5</v>
      </c>
    </row>
    <row r="6" spans="2:13" x14ac:dyDescent="0.35">
      <c r="B6" s="2" t="s">
        <v>20</v>
      </c>
      <c r="C6" s="2">
        <v>1185732</v>
      </c>
      <c r="D6" s="3">
        <v>44563</v>
      </c>
      <c r="E6" s="2" t="s">
        <v>12</v>
      </c>
      <c r="F6" s="2" t="s">
        <v>13</v>
      </c>
      <c r="G6" s="2" t="s">
        <v>13</v>
      </c>
      <c r="H6" s="2" t="s">
        <v>15</v>
      </c>
      <c r="I6" s="4">
        <v>0.5</v>
      </c>
      <c r="J6" s="5">
        <v>10000</v>
      </c>
      <c r="K6" s="6">
        <v>5000</v>
      </c>
      <c r="L6" s="6">
        <v>1500</v>
      </c>
      <c r="M6" s="7">
        <v>0.3</v>
      </c>
    </row>
    <row r="7" spans="2:13" x14ac:dyDescent="0.35">
      <c r="B7" s="2" t="s">
        <v>20</v>
      </c>
      <c r="C7" s="2">
        <v>1185732</v>
      </c>
      <c r="D7" s="3">
        <v>44564</v>
      </c>
      <c r="E7" s="2" t="s">
        <v>12</v>
      </c>
      <c r="F7" s="2" t="s">
        <v>13</v>
      </c>
      <c r="G7" s="2" t="s">
        <v>13</v>
      </c>
      <c r="H7" s="2" t="s">
        <v>16</v>
      </c>
      <c r="I7" s="4">
        <v>0.4</v>
      </c>
      <c r="J7" s="5">
        <v>10000</v>
      </c>
      <c r="K7" s="6">
        <v>4000</v>
      </c>
      <c r="L7" s="6">
        <v>1400</v>
      </c>
      <c r="M7" s="7">
        <v>0.35</v>
      </c>
    </row>
    <row r="8" spans="2:13" x14ac:dyDescent="0.35">
      <c r="B8" s="2" t="s">
        <v>20</v>
      </c>
      <c r="C8" s="2">
        <v>1185732</v>
      </c>
      <c r="D8" s="3">
        <v>44565</v>
      </c>
      <c r="E8" s="2" t="s">
        <v>12</v>
      </c>
      <c r="F8" s="2" t="s">
        <v>13</v>
      </c>
      <c r="G8" s="2" t="s">
        <v>13</v>
      </c>
      <c r="H8" s="2" t="s">
        <v>17</v>
      </c>
      <c r="I8" s="4">
        <v>0.45</v>
      </c>
      <c r="J8" s="5">
        <v>8500</v>
      </c>
      <c r="K8" s="6">
        <v>3825</v>
      </c>
      <c r="L8" s="6">
        <v>1338.75</v>
      </c>
      <c r="M8" s="7">
        <v>0.35</v>
      </c>
    </row>
    <row r="9" spans="2:13" x14ac:dyDescent="0.35">
      <c r="B9" s="2" t="s">
        <v>20</v>
      </c>
      <c r="C9" s="2">
        <v>1185732</v>
      </c>
      <c r="D9" s="3">
        <v>44566</v>
      </c>
      <c r="E9" s="2" t="s">
        <v>12</v>
      </c>
      <c r="F9" s="2" t="s">
        <v>13</v>
      </c>
      <c r="G9" s="2" t="s">
        <v>13</v>
      </c>
      <c r="H9" s="2" t="s">
        <v>18</v>
      </c>
      <c r="I9" s="4">
        <v>0.6</v>
      </c>
      <c r="J9" s="5">
        <v>9000</v>
      </c>
      <c r="K9" s="6">
        <v>5400</v>
      </c>
      <c r="L9" s="6">
        <v>1620</v>
      </c>
      <c r="M9" s="7">
        <v>0.3</v>
      </c>
    </row>
    <row r="10" spans="2:13" x14ac:dyDescent="0.35">
      <c r="B10" s="2" t="s">
        <v>20</v>
      </c>
      <c r="C10" s="2">
        <v>1185732</v>
      </c>
      <c r="D10" s="3">
        <v>44567</v>
      </c>
      <c r="E10" s="2" t="s">
        <v>12</v>
      </c>
      <c r="F10" s="2" t="s">
        <v>13</v>
      </c>
      <c r="G10" s="2" t="s">
        <v>13</v>
      </c>
      <c r="H10" s="2" t="s">
        <v>19</v>
      </c>
      <c r="I10" s="4">
        <v>0.5</v>
      </c>
      <c r="J10" s="5">
        <v>10000</v>
      </c>
      <c r="K10" s="6">
        <v>5000</v>
      </c>
      <c r="L10" s="6">
        <v>1250</v>
      </c>
      <c r="M10" s="7">
        <v>0.25</v>
      </c>
    </row>
    <row r="11" spans="2:13" x14ac:dyDescent="0.35">
      <c r="B11" s="2" t="s">
        <v>20</v>
      </c>
      <c r="C11" s="2">
        <v>1185732</v>
      </c>
      <c r="D11" s="3">
        <v>44568</v>
      </c>
      <c r="E11" s="2" t="s">
        <v>12</v>
      </c>
      <c r="F11" s="2" t="s">
        <v>13</v>
      </c>
      <c r="G11" s="2" t="s">
        <v>13</v>
      </c>
      <c r="H11" s="2" t="s">
        <v>14</v>
      </c>
      <c r="I11" s="4">
        <v>0.5</v>
      </c>
      <c r="J11" s="5">
        <v>12500</v>
      </c>
      <c r="K11" s="6">
        <v>6250</v>
      </c>
      <c r="L11" s="6">
        <v>3125</v>
      </c>
      <c r="M11" s="7">
        <v>0.5</v>
      </c>
    </row>
    <row r="12" spans="2:13" x14ac:dyDescent="0.35">
      <c r="B12" s="2" t="s">
        <v>20</v>
      </c>
      <c r="C12" s="2">
        <v>1185732</v>
      </c>
      <c r="D12" s="3">
        <v>44569</v>
      </c>
      <c r="E12" s="2" t="s">
        <v>12</v>
      </c>
      <c r="F12" s="2" t="s">
        <v>13</v>
      </c>
      <c r="G12" s="2" t="s">
        <v>13</v>
      </c>
      <c r="H12" s="2" t="s">
        <v>15</v>
      </c>
      <c r="I12" s="4">
        <v>0.5</v>
      </c>
      <c r="J12" s="5">
        <v>9000</v>
      </c>
      <c r="K12" s="6">
        <v>4500</v>
      </c>
      <c r="L12" s="6">
        <v>1350</v>
      </c>
      <c r="M12" s="7">
        <v>0.3</v>
      </c>
    </row>
    <row r="13" spans="2:13" x14ac:dyDescent="0.35">
      <c r="B13" s="2" t="s">
        <v>20</v>
      </c>
      <c r="C13" s="2">
        <v>1185732</v>
      </c>
      <c r="D13" s="3">
        <v>44582</v>
      </c>
      <c r="E13" s="2" t="s">
        <v>12</v>
      </c>
      <c r="F13" s="2" t="s">
        <v>13</v>
      </c>
      <c r="G13" s="2" t="s">
        <v>13</v>
      </c>
      <c r="H13" s="2" t="s">
        <v>16</v>
      </c>
      <c r="I13" s="4">
        <v>0.4</v>
      </c>
      <c r="J13" s="5">
        <v>9500</v>
      </c>
      <c r="K13" s="6">
        <v>3800</v>
      </c>
      <c r="L13" s="6">
        <v>1330</v>
      </c>
      <c r="M13" s="7">
        <v>0.35</v>
      </c>
    </row>
    <row r="14" spans="2:13" x14ac:dyDescent="0.35">
      <c r="B14" s="2" t="s">
        <v>20</v>
      </c>
      <c r="C14" s="2">
        <v>1185732</v>
      </c>
      <c r="D14" s="3">
        <v>44583</v>
      </c>
      <c r="E14" s="2" t="s">
        <v>12</v>
      </c>
      <c r="F14" s="2" t="s">
        <v>13</v>
      </c>
      <c r="G14" s="2" t="s">
        <v>13</v>
      </c>
      <c r="H14" s="2" t="s">
        <v>17</v>
      </c>
      <c r="I14" s="4">
        <v>0.45</v>
      </c>
      <c r="J14" s="5">
        <v>8250</v>
      </c>
      <c r="K14" s="6">
        <v>3712.5</v>
      </c>
      <c r="L14" s="6">
        <v>1299.375</v>
      </c>
      <c r="M14" s="7">
        <v>0.35</v>
      </c>
    </row>
    <row r="15" spans="2:13" x14ac:dyDescent="0.35">
      <c r="B15" s="2" t="s">
        <v>20</v>
      </c>
      <c r="C15" s="2">
        <v>1185732</v>
      </c>
      <c r="D15" s="3">
        <v>44584</v>
      </c>
      <c r="E15" s="2" t="s">
        <v>12</v>
      </c>
      <c r="F15" s="2" t="s">
        <v>13</v>
      </c>
      <c r="G15" s="2" t="s">
        <v>13</v>
      </c>
      <c r="H15" s="2" t="s">
        <v>18</v>
      </c>
      <c r="I15" s="4">
        <v>0.6</v>
      </c>
      <c r="J15" s="5">
        <v>9000</v>
      </c>
      <c r="K15" s="6">
        <v>5400</v>
      </c>
      <c r="L15" s="6">
        <v>1620</v>
      </c>
      <c r="M15" s="7">
        <v>0.3</v>
      </c>
    </row>
    <row r="16" spans="2:13" x14ac:dyDescent="0.35">
      <c r="B16" s="2" t="s">
        <v>20</v>
      </c>
      <c r="C16" s="2">
        <v>1185732</v>
      </c>
      <c r="D16" s="3">
        <v>44585</v>
      </c>
      <c r="E16" s="2" t="s">
        <v>12</v>
      </c>
      <c r="F16" s="2" t="s">
        <v>13</v>
      </c>
      <c r="G16" s="2" t="s">
        <v>13</v>
      </c>
      <c r="H16" s="2" t="s">
        <v>19</v>
      </c>
      <c r="I16" s="4">
        <v>0.5</v>
      </c>
      <c r="J16" s="5">
        <v>10000</v>
      </c>
      <c r="K16" s="6">
        <v>5000</v>
      </c>
      <c r="L16" s="6">
        <v>1250</v>
      </c>
      <c r="M16" s="7">
        <v>0.25</v>
      </c>
    </row>
    <row r="17" spans="2:13" x14ac:dyDescent="0.35">
      <c r="B17" s="2" t="s">
        <v>20</v>
      </c>
      <c r="C17" s="2">
        <v>1185732</v>
      </c>
      <c r="D17" s="3">
        <v>44586</v>
      </c>
      <c r="E17" s="2" t="s">
        <v>12</v>
      </c>
      <c r="F17" s="2" t="s">
        <v>13</v>
      </c>
      <c r="G17" s="2" t="s">
        <v>13</v>
      </c>
      <c r="H17" s="2" t="s">
        <v>14</v>
      </c>
      <c r="I17" s="4">
        <v>0.5</v>
      </c>
      <c r="J17" s="5">
        <v>12200</v>
      </c>
      <c r="K17" s="6">
        <v>6100</v>
      </c>
      <c r="L17" s="6">
        <v>3050</v>
      </c>
      <c r="M17" s="7">
        <v>0.5</v>
      </c>
    </row>
    <row r="18" spans="2:13" x14ac:dyDescent="0.35">
      <c r="B18" s="2" t="s">
        <v>20</v>
      </c>
      <c r="C18" s="2">
        <v>1185732</v>
      </c>
      <c r="D18" s="3">
        <v>44587</v>
      </c>
      <c r="E18" s="2" t="s">
        <v>12</v>
      </c>
      <c r="F18" s="2" t="s">
        <v>13</v>
      </c>
      <c r="G18" s="2" t="s">
        <v>13</v>
      </c>
      <c r="H18" s="2" t="s">
        <v>15</v>
      </c>
      <c r="I18" s="4">
        <v>0.5</v>
      </c>
      <c r="J18" s="5">
        <v>9250</v>
      </c>
      <c r="K18" s="6">
        <v>4625</v>
      </c>
      <c r="L18" s="6">
        <v>1387.5</v>
      </c>
      <c r="M18" s="7">
        <v>0.3</v>
      </c>
    </row>
    <row r="19" spans="2:13" x14ac:dyDescent="0.35">
      <c r="B19" s="2" t="s">
        <v>20</v>
      </c>
      <c r="C19" s="2">
        <v>1185732</v>
      </c>
      <c r="D19" s="3">
        <v>44588</v>
      </c>
      <c r="E19" s="2" t="s">
        <v>12</v>
      </c>
      <c r="F19" s="2" t="s">
        <v>13</v>
      </c>
      <c r="G19" s="2" t="s">
        <v>13</v>
      </c>
      <c r="H19" s="2" t="s">
        <v>16</v>
      </c>
      <c r="I19" s="4">
        <v>0.4</v>
      </c>
      <c r="J19" s="5">
        <v>9500</v>
      </c>
      <c r="K19" s="6">
        <v>3800</v>
      </c>
      <c r="L19" s="6">
        <v>1330</v>
      </c>
      <c r="M19" s="7">
        <v>0.35</v>
      </c>
    </row>
    <row r="20" spans="2:13" x14ac:dyDescent="0.35">
      <c r="B20" s="2" t="s">
        <v>20</v>
      </c>
      <c r="C20" s="2">
        <v>1185732</v>
      </c>
      <c r="D20" s="3">
        <v>44589</v>
      </c>
      <c r="E20" s="2" t="s">
        <v>12</v>
      </c>
      <c r="F20" s="2" t="s">
        <v>13</v>
      </c>
      <c r="G20" s="2" t="s">
        <v>13</v>
      </c>
      <c r="H20" s="2" t="s">
        <v>17</v>
      </c>
      <c r="I20" s="4">
        <v>0.45</v>
      </c>
      <c r="J20" s="5">
        <v>8000</v>
      </c>
      <c r="K20" s="6">
        <v>3600</v>
      </c>
      <c r="L20" s="6">
        <v>1260</v>
      </c>
      <c r="M20" s="7">
        <v>0.35</v>
      </c>
    </row>
    <row r="21" spans="2:13" x14ac:dyDescent="0.35">
      <c r="B21" s="2" t="s">
        <v>20</v>
      </c>
      <c r="C21" s="2">
        <v>1185732</v>
      </c>
      <c r="D21" s="3">
        <v>44590</v>
      </c>
      <c r="E21" s="2" t="s">
        <v>12</v>
      </c>
      <c r="F21" s="2" t="s">
        <v>13</v>
      </c>
      <c r="G21" s="2" t="s">
        <v>13</v>
      </c>
      <c r="H21" s="2" t="s">
        <v>18</v>
      </c>
      <c r="I21" s="4">
        <v>0.6</v>
      </c>
      <c r="J21" s="5">
        <v>8500</v>
      </c>
      <c r="K21" s="6">
        <v>5100</v>
      </c>
      <c r="L21" s="6">
        <v>1530</v>
      </c>
      <c r="M21" s="7">
        <v>0.3</v>
      </c>
    </row>
    <row r="22" spans="2:13" x14ac:dyDescent="0.35">
      <c r="B22" s="2" t="s">
        <v>20</v>
      </c>
      <c r="C22" s="2">
        <v>1185732</v>
      </c>
      <c r="D22" s="3">
        <v>44591</v>
      </c>
      <c r="E22" s="2" t="s">
        <v>12</v>
      </c>
      <c r="F22" s="2" t="s">
        <v>13</v>
      </c>
      <c r="G22" s="2" t="s">
        <v>13</v>
      </c>
      <c r="H22" s="2" t="s">
        <v>19</v>
      </c>
      <c r="I22" s="4">
        <v>0.5</v>
      </c>
      <c r="J22" s="5">
        <v>9500</v>
      </c>
      <c r="K22" s="6">
        <v>4750</v>
      </c>
      <c r="L22" s="6">
        <v>1187.5</v>
      </c>
      <c r="M22" s="7">
        <v>0.25</v>
      </c>
    </row>
    <row r="23" spans="2:13" x14ac:dyDescent="0.35">
      <c r="B23" s="2" t="s">
        <v>20</v>
      </c>
      <c r="C23" s="2">
        <v>1185732</v>
      </c>
      <c r="D23" s="3">
        <v>44592</v>
      </c>
      <c r="E23" s="2" t="s">
        <v>12</v>
      </c>
      <c r="F23" s="2" t="s">
        <v>13</v>
      </c>
      <c r="G23" s="2" t="s">
        <v>13</v>
      </c>
      <c r="H23" s="2" t="s">
        <v>14</v>
      </c>
      <c r="I23" s="4">
        <v>0.5</v>
      </c>
      <c r="J23" s="5">
        <v>12000</v>
      </c>
      <c r="K23" s="6">
        <v>6000</v>
      </c>
      <c r="L23" s="6">
        <v>3000</v>
      </c>
      <c r="M23" s="7">
        <v>0.5</v>
      </c>
    </row>
    <row r="24" spans="2:13" x14ac:dyDescent="0.35">
      <c r="B24" s="2" t="s">
        <v>20</v>
      </c>
      <c r="C24" s="2">
        <v>1185732</v>
      </c>
      <c r="D24" s="3">
        <v>44593</v>
      </c>
      <c r="E24" s="2" t="s">
        <v>12</v>
      </c>
      <c r="F24" s="2" t="s">
        <v>13</v>
      </c>
      <c r="G24" s="2" t="s">
        <v>13</v>
      </c>
      <c r="H24" s="2" t="s">
        <v>15</v>
      </c>
      <c r="I24" s="4">
        <v>0.5</v>
      </c>
      <c r="J24" s="5">
        <v>9000</v>
      </c>
      <c r="K24" s="6">
        <v>4500</v>
      </c>
      <c r="L24" s="6">
        <v>1350</v>
      </c>
      <c r="M24" s="7">
        <v>0.3</v>
      </c>
    </row>
    <row r="25" spans="2:13" x14ac:dyDescent="0.35">
      <c r="B25" s="2" t="s">
        <v>20</v>
      </c>
      <c r="C25" s="2">
        <v>1185732</v>
      </c>
      <c r="D25" s="3">
        <v>44594</v>
      </c>
      <c r="E25" s="2" t="s">
        <v>12</v>
      </c>
      <c r="F25" s="2" t="s">
        <v>13</v>
      </c>
      <c r="G25" s="2" t="s">
        <v>13</v>
      </c>
      <c r="H25" s="2" t="s">
        <v>16</v>
      </c>
      <c r="I25" s="4">
        <v>0.4</v>
      </c>
      <c r="J25" s="5">
        <v>9000</v>
      </c>
      <c r="K25" s="6">
        <v>3600</v>
      </c>
      <c r="L25" s="6">
        <v>1260</v>
      </c>
      <c r="M25" s="7">
        <v>0.35</v>
      </c>
    </row>
    <row r="26" spans="2:13" x14ac:dyDescent="0.35">
      <c r="B26" s="2" t="s">
        <v>20</v>
      </c>
      <c r="C26" s="2">
        <v>1185732</v>
      </c>
      <c r="D26" s="3">
        <v>44595</v>
      </c>
      <c r="E26" s="2" t="s">
        <v>12</v>
      </c>
      <c r="F26" s="2" t="s">
        <v>13</v>
      </c>
      <c r="G26" s="2" t="s">
        <v>13</v>
      </c>
      <c r="H26" s="2" t="s">
        <v>17</v>
      </c>
      <c r="I26" s="4">
        <v>0.45</v>
      </c>
      <c r="J26" s="5">
        <v>8250</v>
      </c>
      <c r="K26" s="6">
        <v>3712.5</v>
      </c>
      <c r="L26" s="6">
        <v>1299.375</v>
      </c>
      <c r="M26" s="7">
        <v>0.35</v>
      </c>
    </row>
    <row r="27" spans="2:13" x14ac:dyDescent="0.35">
      <c r="B27" s="2" t="s">
        <v>20</v>
      </c>
      <c r="C27" s="2">
        <v>1185732</v>
      </c>
      <c r="D27" s="3">
        <v>44596</v>
      </c>
      <c r="E27" s="2" t="s">
        <v>12</v>
      </c>
      <c r="F27" s="2" t="s">
        <v>13</v>
      </c>
      <c r="G27" s="2" t="s">
        <v>13</v>
      </c>
      <c r="H27" s="2" t="s">
        <v>18</v>
      </c>
      <c r="I27" s="4">
        <v>0.6</v>
      </c>
      <c r="J27" s="5">
        <v>8250</v>
      </c>
      <c r="K27" s="6">
        <v>4950</v>
      </c>
      <c r="L27" s="6">
        <v>1485</v>
      </c>
      <c r="M27" s="7">
        <v>0.3</v>
      </c>
    </row>
    <row r="28" spans="2:13" x14ac:dyDescent="0.35">
      <c r="B28" s="2" t="s">
        <v>20</v>
      </c>
      <c r="C28" s="2">
        <v>1185732</v>
      </c>
      <c r="D28" s="3">
        <v>44597</v>
      </c>
      <c r="E28" s="2" t="s">
        <v>12</v>
      </c>
      <c r="F28" s="2" t="s">
        <v>13</v>
      </c>
      <c r="G28" s="2" t="s">
        <v>13</v>
      </c>
      <c r="H28" s="2" t="s">
        <v>19</v>
      </c>
      <c r="I28" s="4">
        <v>0.5</v>
      </c>
      <c r="J28" s="5">
        <v>9500</v>
      </c>
      <c r="K28" s="6">
        <v>4750</v>
      </c>
      <c r="L28" s="6">
        <v>1187.5</v>
      </c>
      <c r="M28" s="7">
        <v>0.25</v>
      </c>
    </row>
    <row r="29" spans="2:13" x14ac:dyDescent="0.35">
      <c r="B29" s="2" t="s">
        <v>20</v>
      </c>
      <c r="C29" s="2">
        <v>1185732</v>
      </c>
      <c r="D29" s="3">
        <v>44598</v>
      </c>
      <c r="E29" s="2" t="s">
        <v>12</v>
      </c>
      <c r="F29" s="2" t="s">
        <v>13</v>
      </c>
      <c r="G29" s="2" t="s">
        <v>13</v>
      </c>
      <c r="H29" s="2" t="s">
        <v>14</v>
      </c>
      <c r="I29" s="4">
        <v>0.6</v>
      </c>
      <c r="J29" s="5">
        <v>12200</v>
      </c>
      <c r="K29" s="6">
        <v>7320</v>
      </c>
      <c r="L29" s="6">
        <v>3660</v>
      </c>
      <c r="M29" s="7">
        <v>0.5</v>
      </c>
    </row>
    <row r="30" spans="2:13" x14ac:dyDescent="0.3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5">
      <c r="B31" s="2" t="s">
        <v>20</v>
      </c>
      <c r="C31" s="2">
        <v>1185732</v>
      </c>
      <c r="D31" s="3">
        <v>44600</v>
      </c>
      <c r="E31" s="2" t="s">
        <v>12</v>
      </c>
      <c r="F31" s="2" t="s">
        <v>13</v>
      </c>
      <c r="G31" s="2" t="s">
        <v>13</v>
      </c>
      <c r="H31" s="2" t="s">
        <v>16</v>
      </c>
      <c r="I31" s="4">
        <v>0.5</v>
      </c>
      <c r="J31" s="5">
        <v>9000</v>
      </c>
      <c r="K31" s="6">
        <v>4500</v>
      </c>
      <c r="L31" s="6">
        <v>1575</v>
      </c>
      <c r="M31" s="7">
        <v>0.35</v>
      </c>
    </row>
    <row r="32" spans="2:13" x14ac:dyDescent="0.35">
      <c r="B32" s="2" t="s">
        <v>130</v>
      </c>
      <c r="C32" s="2">
        <v>1185732</v>
      </c>
      <c r="D32" s="3">
        <v>44601</v>
      </c>
      <c r="E32" s="2" t="s">
        <v>12</v>
      </c>
      <c r="F32" s="2" t="s">
        <v>13</v>
      </c>
      <c r="G32" s="2" t="s">
        <v>13</v>
      </c>
      <c r="H32" s="2" t="s">
        <v>17</v>
      </c>
      <c r="I32" s="4">
        <v>0.5</v>
      </c>
      <c r="J32" s="5">
        <v>8500</v>
      </c>
      <c r="K32" s="6">
        <v>4250</v>
      </c>
      <c r="L32" s="6">
        <v>1487.5</v>
      </c>
      <c r="M32" s="7">
        <v>0.35</v>
      </c>
    </row>
    <row r="33" spans="2:13" x14ac:dyDescent="0.35">
      <c r="B33" s="2" t="s">
        <v>130</v>
      </c>
      <c r="C33" s="2">
        <v>1185732</v>
      </c>
      <c r="D33" s="3">
        <v>44602</v>
      </c>
      <c r="E33" s="2" t="s">
        <v>12</v>
      </c>
      <c r="F33" s="2" t="s">
        <v>13</v>
      </c>
      <c r="G33" s="2" t="s">
        <v>13</v>
      </c>
      <c r="H33" s="2" t="s">
        <v>18</v>
      </c>
      <c r="I33" s="4">
        <v>0.6</v>
      </c>
      <c r="J33" s="5">
        <v>8750</v>
      </c>
      <c r="K33" s="6">
        <v>5250</v>
      </c>
      <c r="L33" s="6">
        <v>1575</v>
      </c>
      <c r="M33" s="7">
        <v>0.3</v>
      </c>
    </row>
    <row r="34" spans="2:13" x14ac:dyDescent="0.35">
      <c r="B34" s="2" t="s">
        <v>130</v>
      </c>
      <c r="C34" s="2">
        <v>1185732</v>
      </c>
      <c r="D34" s="3">
        <v>44623</v>
      </c>
      <c r="E34" s="2" t="s">
        <v>12</v>
      </c>
      <c r="F34" s="2" t="s">
        <v>13</v>
      </c>
      <c r="G34" s="2" t="s">
        <v>13</v>
      </c>
      <c r="H34" s="2" t="s">
        <v>19</v>
      </c>
      <c r="I34" s="4">
        <v>0.65</v>
      </c>
      <c r="J34" s="5">
        <v>10000</v>
      </c>
      <c r="K34" s="6">
        <v>6500</v>
      </c>
      <c r="L34" s="6">
        <v>1625</v>
      </c>
      <c r="M34" s="7">
        <v>0.25</v>
      </c>
    </row>
    <row r="35" spans="2:13" x14ac:dyDescent="0.35">
      <c r="B35" s="2" t="s">
        <v>130</v>
      </c>
      <c r="C35" s="2">
        <v>1185732</v>
      </c>
      <c r="D35" s="3">
        <v>44624</v>
      </c>
      <c r="E35" s="2" t="s">
        <v>12</v>
      </c>
      <c r="F35" s="2" t="s">
        <v>13</v>
      </c>
      <c r="G35" s="2" t="s">
        <v>13</v>
      </c>
      <c r="H35" s="2" t="s">
        <v>14</v>
      </c>
      <c r="I35" s="4">
        <v>0.6</v>
      </c>
      <c r="J35" s="5">
        <v>12500</v>
      </c>
      <c r="K35" s="6">
        <v>7500</v>
      </c>
      <c r="L35" s="6">
        <v>3750</v>
      </c>
      <c r="M35" s="7">
        <v>0.5</v>
      </c>
    </row>
    <row r="36" spans="2:13" x14ac:dyDescent="0.3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5">
      <c r="B37" s="2" t="s">
        <v>130</v>
      </c>
      <c r="C37" s="2">
        <v>1185732</v>
      </c>
      <c r="D37" s="3">
        <v>44626</v>
      </c>
      <c r="E37" s="2" t="s">
        <v>12</v>
      </c>
      <c r="F37" s="2" t="s">
        <v>13</v>
      </c>
      <c r="G37" s="2" t="s">
        <v>13</v>
      </c>
      <c r="H37" s="2" t="s">
        <v>16</v>
      </c>
      <c r="I37" s="4">
        <v>0.5</v>
      </c>
      <c r="J37" s="5">
        <v>9250</v>
      </c>
      <c r="K37" s="6">
        <v>4625</v>
      </c>
      <c r="L37" s="6">
        <v>1618.75</v>
      </c>
      <c r="M37" s="7">
        <v>0.35</v>
      </c>
    </row>
    <row r="38" spans="2:13" x14ac:dyDescent="0.35">
      <c r="B38" s="2" t="s">
        <v>130</v>
      </c>
      <c r="C38" s="2">
        <v>1185732</v>
      </c>
      <c r="D38" s="3">
        <v>44627</v>
      </c>
      <c r="E38" s="2" t="s">
        <v>12</v>
      </c>
      <c r="F38" s="2" t="s">
        <v>13</v>
      </c>
      <c r="G38" s="2" t="s">
        <v>13</v>
      </c>
      <c r="H38" s="2" t="s">
        <v>17</v>
      </c>
      <c r="I38" s="4">
        <v>0.5</v>
      </c>
      <c r="J38" s="5">
        <v>9000</v>
      </c>
      <c r="K38" s="6">
        <v>4500</v>
      </c>
      <c r="L38" s="6">
        <v>1575</v>
      </c>
      <c r="M38" s="7">
        <v>0.35</v>
      </c>
    </row>
    <row r="39" spans="2:13" x14ac:dyDescent="0.35">
      <c r="B39" s="2" t="s">
        <v>130</v>
      </c>
      <c r="C39" s="2">
        <v>1185732</v>
      </c>
      <c r="D39" s="3">
        <v>44628</v>
      </c>
      <c r="E39" s="2" t="s">
        <v>12</v>
      </c>
      <c r="F39" s="2" t="s">
        <v>13</v>
      </c>
      <c r="G39" s="2" t="s">
        <v>13</v>
      </c>
      <c r="H39" s="2" t="s">
        <v>18</v>
      </c>
      <c r="I39" s="4">
        <v>0.6</v>
      </c>
      <c r="J39" s="5">
        <v>9000</v>
      </c>
      <c r="K39" s="6">
        <v>5400</v>
      </c>
      <c r="L39" s="6">
        <v>1620</v>
      </c>
      <c r="M39" s="7">
        <v>0.3</v>
      </c>
    </row>
    <row r="40" spans="2:13" x14ac:dyDescent="0.35">
      <c r="B40" s="2" t="s">
        <v>130</v>
      </c>
      <c r="C40" s="2">
        <v>1185732</v>
      </c>
      <c r="D40" s="3">
        <v>44629</v>
      </c>
      <c r="E40" s="2" t="s">
        <v>12</v>
      </c>
      <c r="F40" s="2" t="s">
        <v>13</v>
      </c>
      <c r="G40" s="2" t="s">
        <v>13</v>
      </c>
      <c r="H40" s="2" t="s">
        <v>19</v>
      </c>
      <c r="I40" s="4">
        <v>0.65</v>
      </c>
      <c r="J40" s="5">
        <v>10500</v>
      </c>
      <c r="K40" s="6">
        <v>6825</v>
      </c>
      <c r="L40" s="6">
        <v>1706.25</v>
      </c>
      <c r="M40" s="7">
        <v>0.25</v>
      </c>
    </row>
    <row r="41" spans="2:13" x14ac:dyDescent="0.35">
      <c r="B41" s="2" t="s">
        <v>130</v>
      </c>
      <c r="C41" s="2">
        <v>1185732</v>
      </c>
      <c r="D41" s="3">
        <v>44630</v>
      </c>
      <c r="E41" s="2" t="s">
        <v>12</v>
      </c>
      <c r="F41" s="2" t="s">
        <v>13</v>
      </c>
      <c r="G41" s="2" t="s">
        <v>13</v>
      </c>
      <c r="H41" s="2" t="s">
        <v>14</v>
      </c>
      <c r="I41" s="4">
        <v>0.6</v>
      </c>
      <c r="J41" s="5">
        <v>12750</v>
      </c>
      <c r="K41" s="6">
        <v>7650</v>
      </c>
      <c r="L41" s="6">
        <v>3825</v>
      </c>
      <c r="M41" s="7">
        <v>0.5</v>
      </c>
    </row>
    <row r="42" spans="2:13" x14ac:dyDescent="0.3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5">
      <c r="B43" s="2" t="s">
        <v>130</v>
      </c>
      <c r="C43" s="2">
        <v>1185732</v>
      </c>
      <c r="D43" s="3">
        <v>44632</v>
      </c>
      <c r="E43" s="2" t="s">
        <v>12</v>
      </c>
      <c r="F43" s="2" t="s">
        <v>13</v>
      </c>
      <c r="G43" s="2" t="s">
        <v>13</v>
      </c>
      <c r="H43" s="2" t="s">
        <v>16</v>
      </c>
      <c r="I43" s="4">
        <v>0.5</v>
      </c>
      <c r="J43" s="5">
        <v>9500</v>
      </c>
      <c r="K43" s="6">
        <v>4750</v>
      </c>
      <c r="L43" s="6">
        <v>1662.5</v>
      </c>
      <c r="M43" s="7">
        <v>0.35</v>
      </c>
    </row>
    <row r="44" spans="2:13" x14ac:dyDescent="0.35">
      <c r="B44" s="2" t="s">
        <v>130</v>
      </c>
      <c r="C44" s="2">
        <v>1185732</v>
      </c>
      <c r="D44" s="3">
        <v>44633</v>
      </c>
      <c r="E44" s="2" t="s">
        <v>12</v>
      </c>
      <c r="F44" s="2" t="s">
        <v>13</v>
      </c>
      <c r="G44" s="2" t="s">
        <v>13</v>
      </c>
      <c r="H44" s="2" t="s">
        <v>17</v>
      </c>
      <c r="I44" s="4">
        <v>0.5</v>
      </c>
      <c r="J44" s="5">
        <v>9000</v>
      </c>
      <c r="K44" s="6">
        <v>4500</v>
      </c>
      <c r="L44" s="6">
        <v>1575</v>
      </c>
      <c r="M44" s="7">
        <v>0.35</v>
      </c>
    </row>
    <row r="45" spans="2:13" x14ac:dyDescent="0.35">
      <c r="B45" s="2" t="s">
        <v>130</v>
      </c>
      <c r="C45" s="2">
        <v>1185732</v>
      </c>
      <c r="D45" s="3">
        <v>44634</v>
      </c>
      <c r="E45" s="2" t="s">
        <v>12</v>
      </c>
      <c r="F45" s="2" t="s">
        <v>13</v>
      </c>
      <c r="G45" s="2" t="s">
        <v>13</v>
      </c>
      <c r="H45" s="2" t="s">
        <v>18</v>
      </c>
      <c r="I45" s="4">
        <v>0.6</v>
      </c>
      <c r="J45" s="5">
        <v>9250</v>
      </c>
      <c r="K45" s="6">
        <v>5550</v>
      </c>
      <c r="L45" s="6">
        <v>1665</v>
      </c>
      <c r="M45" s="7">
        <v>0.3</v>
      </c>
    </row>
    <row r="46" spans="2:13" x14ac:dyDescent="0.35">
      <c r="B46" s="2" t="s">
        <v>130</v>
      </c>
      <c r="C46" s="2">
        <v>1185732</v>
      </c>
      <c r="D46" s="3">
        <v>44635</v>
      </c>
      <c r="E46" s="2" t="s">
        <v>12</v>
      </c>
      <c r="F46" s="2" t="s">
        <v>13</v>
      </c>
      <c r="G46" s="2" t="s">
        <v>13</v>
      </c>
      <c r="H46" s="2" t="s">
        <v>19</v>
      </c>
      <c r="I46" s="4">
        <v>0.65</v>
      </c>
      <c r="J46" s="5">
        <v>11000</v>
      </c>
      <c r="K46" s="6">
        <v>7150</v>
      </c>
      <c r="L46" s="6">
        <v>1787.5</v>
      </c>
      <c r="M46" s="7">
        <v>0.25</v>
      </c>
    </row>
    <row r="47" spans="2:13" x14ac:dyDescent="0.35">
      <c r="B47" s="2" t="s">
        <v>130</v>
      </c>
      <c r="C47" s="2">
        <v>1185732</v>
      </c>
      <c r="D47" s="3">
        <v>44636</v>
      </c>
      <c r="E47" s="2" t="s">
        <v>12</v>
      </c>
      <c r="F47" s="2" t="s">
        <v>13</v>
      </c>
      <c r="G47" s="2" t="s">
        <v>13</v>
      </c>
      <c r="H47" s="2" t="s">
        <v>14</v>
      </c>
      <c r="I47" s="4">
        <v>0.6</v>
      </c>
      <c r="J47" s="5">
        <v>12500</v>
      </c>
      <c r="K47" s="6">
        <v>7500</v>
      </c>
      <c r="L47" s="6">
        <v>3750</v>
      </c>
      <c r="M47" s="7">
        <v>0.5</v>
      </c>
    </row>
    <row r="48" spans="2:13" x14ac:dyDescent="0.3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5">
      <c r="B49" s="2" t="s">
        <v>130</v>
      </c>
      <c r="C49" s="2">
        <v>1185732</v>
      </c>
      <c r="D49" s="3">
        <v>44638</v>
      </c>
      <c r="E49" s="2" t="s">
        <v>12</v>
      </c>
      <c r="F49" s="2" t="s">
        <v>13</v>
      </c>
      <c r="G49" s="2" t="s">
        <v>13</v>
      </c>
      <c r="H49" s="2" t="s">
        <v>16</v>
      </c>
      <c r="I49" s="4">
        <v>0.5</v>
      </c>
      <c r="J49" s="5">
        <v>9500</v>
      </c>
      <c r="K49" s="6">
        <v>4750</v>
      </c>
      <c r="L49" s="6">
        <v>1662.5</v>
      </c>
      <c r="M49" s="7">
        <v>0.35</v>
      </c>
    </row>
    <row r="50" spans="2:13" x14ac:dyDescent="0.35">
      <c r="B50" s="2" t="s">
        <v>130</v>
      </c>
      <c r="C50" s="2">
        <v>1185732</v>
      </c>
      <c r="D50" s="3">
        <v>44651</v>
      </c>
      <c r="E50" s="2" t="s">
        <v>12</v>
      </c>
      <c r="F50" s="2" t="s">
        <v>13</v>
      </c>
      <c r="G50" s="2" t="s">
        <v>13</v>
      </c>
      <c r="H50" s="2" t="s">
        <v>17</v>
      </c>
      <c r="I50" s="4">
        <v>0.5</v>
      </c>
      <c r="J50" s="5">
        <v>9250</v>
      </c>
      <c r="K50" s="6">
        <v>4625</v>
      </c>
      <c r="L50" s="6">
        <v>1618.75</v>
      </c>
      <c r="M50" s="7">
        <v>0.35</v>
      </c>
    </row>
    <row r="51" spans="2:13" x14ac:dyDescent="0.35">
      <c r="B51" s="2" t="s">
        <v>130</v>
      </c>
      <c r="C51" s="2">
        <v>1185732</v>
      </c>
      <c r="D51" s="3">
        <v>44668</v>
      </c>
      <c r="E51" s="2" t="s">
        <v>12</v>
      </c>
      <c r="F51" s="2" t="s">
        <v>13</v>
      </c>
      <c r="G51" s="2" t="s">
        <v>13</v>
      </c>
      <c r="H51" s="2" t="s">
        <v>18</v>
      </c>
      <c r="I51" s="4">
        <v>0.6</v>
      </c>
      <c r="J51" s="5">
        <v>9000</v>
      </c>
      <c r="K51" s="6">
        <v>5400</v>
      </c>
      <c r="L51" s="6">
        <v>1620</v>
      </c>
      <c r="M51" s="7">
        <v>0.3</v>
      </c>
    </row>
    <row r="52" spans="2:13" x14ac:dyDescent="0.35">
      <c r="B52" s="2" t="s">
        <v>130</v>
      </c>
      <c r="C52" s="2">
        <v>1185732</v>
      </c>
      <c r="D52" s="3">
        <v>44669</v>
      </c>
      <c r="E52" s="2" t="s">
        <v>12</v>
      </c>
      <c r="F52" s="2" t="s">
        <v>13</v>
      </c>
      <c r="G52" s="2" t="s">
        <v>13</v>
      </c>
      <c r="H52" s="2" t="s">
        <v>19</v>
      </c>
      <c r="I52" s="4">
        <v>0.65</v>
      </c>
      <c r="J52" s="5">
        <v>10750</v>
      </c>
      <c r="K52" s="6">
        <v>6987.5</v>
      </c>
      <c r="L52" s="6">
        <v>1746.875</v>
      </c>
      <c r="M52" s="7">
        <v>0.25</v>
      </c>
    </row>
    <row r="53" spans="2:13" x14ac:dyDescent="0.35">
      <c r="B53" s="2" t="s">
        <v>130</v>
      </c>
      <c r="C53" s="2">
        <v>1185732</v>
      </c>
      <c r="D53" s="3">
        <v>44670</v>
      </c>
      <c r="E53" s="2" t="s">
        <v>12</v>
      </c>
      <c r="F53" s="2" t="s">
        <v>13</v>
      </c>
      <c r="G53" s="2" t="s">
        <v>13</v>
      </c>
      <c r="H53" s="2" t="s">
        <v>14</v>
      </c>
      <c r="I53" s="4">
        <v>0.6</v>
      </c>
      <c r="J53" s="5">
        <v>12000</v>
      </c>
      <c r="K53" s="6">
        <v>7200</v>
      </c>
      <c r="L53" s="6">
        <v>3600</v>
      </c>
      <c r="M53" s="7">
        <v>0.5</v>
      </c>
    </row>
    <row r="54" spans="2:13" x14ac:dyDescent="0.3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5">
      <c r="B55" s="2" t="s">
        <v>130</v>
      </c>
      <c r="C55" s="2">
        <v>1185732</v>
      </c>
      <c r="D55" s="3">
        <v>44672</v>
      </c>
      <c r="E55" s="2" t="s">
        <v>12</v>
      </c>
      <c r="F55" s="2" t="s">
        <v>13</v>
      </c>
      <c r="G55" s="2" t="s">
        <v>13</v>
      </c>
      <c r="H55" s="2" t="s">
        <v>16</v>
      </c>
      <c r="I55" s="4">
        <v>0.5</v>
      </c>
      <c r="J55" s="5">
        <v>9250</v>
      </c>
      <c r="K55" s="6">
        <v>4625</v>
      </c>
      <c r="L55" s="6">
        <v>1618.75</v>
      </c>
      <c r="M55" s="7">
        <v>0.35</v>
      </c>
    </row>
    <row r="56" spans="2:13" x14ac:dyDescent="0.35">
      <c r="B56" s="2" t="s">
        <v>130</v>
      </c>
      <c r="C56" s="2">
        <v>1185732</v>
      </c>
      <c r="D56" s="3">
        <v>44673</v>
      </c>
      <c r="E56" s="2" t="s">
        <v>12</v>
      </c>
      <c r="F56" s="2" t="s">
        <v>13</v>
      </c>
      <c r="G56" s="2" t="s">
        <v>13</v>
      </c>
      <c r="H56" s="2" t="s">
        <v>17</v>
      </c>
      <c r="I56" s="4">
        <v>0.5</v>
      </c>
      <c r="J56" s="5">
        <v>9000</v>
      </c>
      <c r="K56" s="6">
        <v>4500</v>
      </c>
      <c r="L56" s="6">
        <v>1575</v>
      </c>
      <c r="M56" s="7">
        <v>0.35</v>
      </c>
    </row>
    <row r="57" spans="2:13" x14ac:dyDescent="0.35">
      <c r="B57" s="2" t="s">
        <v>130</v>
      </c>
      <c r="C57" s="2">
        <v>1185732</v>
      </c>
      <c r="D57" s="3">
        <v>44674</v>
      </c>
      <c r="E57" s="2" t="s">
        <v>12</v>
      </c>
      <c r="F57" s="2" t="s">
        <v>13</v>
      </c>
      <c r="G57" s="2" t="s">
        <v>13</v>
      </c>
      <c r="H57" s="2" t="s">
        <v>18</v>
      </c>
      <c r="I57" s="4">
        <v>0.6</v>
      </c>
      <c r="J57" s="5">
        <v>9000</v>
      </c>
      <c r="K57" s="6">
        <v>5400</v>
      </c>
      <c r="L57" s="6">
        <v>1620</v>
      </c>
      <c r="M57" s="7">
        <v>0.3</v>
      </c>
    </row>
    <row r="58" spans="2:13" x14ac:dyDescent="0.35">
      <c r="B58" s="2" t="s">
        <v>130</v>
      </c>
      <c r="C58" s="2">
        <v>1185732</v>
      </c>
      <c r="D58" s="3">
        <v>44675</v>
      </c>
      <c r="E58" s="2" t="s">
        <v>12</v>
      </c>
      <c r="F58" s="2" t="s">
        <v>13</v>
      </c>
      <c r="G58" s="2" t="s">
        <v>13</v>
      </c>
      <c r="H58" s="2" t="s">
        <v>19</v>
      </c>
      <c r="I58" s="4">
        <v>0.65</v>
      </c>
      <c r="J58" s="5">
        <v>10000</v>
      </c>
      <c r="K58" s="6">
        <v>6500</v>
      </c>
      <c r="L58" s="6">
        <v>1625</v>
      </c>
      <c r="M58" s="7">
        <v>0.25</v>
      </c>
    </row>
    <row r="59" spans="2:13" x14ac:dyDescent="0.35">
      <c r="B59" s="2" t="s">
        <v>130</v>
      </c>
      <c r="C59" s="2">
        <v>1185732</v>
      </c>
      <c r="D59" s="3">
        <v>44676</v>
      </c>
      <c r="E59" s="2" t="s">
        <v>12</v>
      </c>
      <c r="F59" s="2" t="s">
        <v>13</v>
      </c>
      <c r="G59" s="2" t="s">
        <v>13</v>
      </c>
      <c r="H59" s="2" t="s">
        <v>18</v>
      </c>
      <c r="I59" s="4">
        <v>0.65</v>
      </c>
      <c r="J59" s="5">
        <v>8750</v>
      </c>
      <c r="K59" s="6">
        <v>5687.5</v>
      </c>
      <c r="L59" s="6">
        <v>1706.25</v>
      </c>
      <c r="M59" s="7">
        <v>0.3</v>
      </c>
    </row>
    <row r="60" spans="2:13" x14ac:dyDescent="0.35">
      <c r="B60" s="2" t="s">
        <v>130</v>
      </c>
      <c r="C60" s="2">
        <v>1185732</v>
      </c>
      <c r="D60" s="3">
        <v>44677</v>
      </c>
      <c r="E60" s="2" t="s">
        <v>12</v>
      </c>
      <c r="F60" s="2" t="s">
        <v>13</v>
      </c>
      <c r="G60" s="2" t="s">
        <v>13</v>
      </c>
      <c r="H60" s="2" t="s">
        <v>19</v>
      </c>
      <c r="I60" s="4">
        <v>0.7</v>
      </c>
      <c r="J60" s="5">
        <v>10000</v>
      </c>
      <c r="K60" s="6">
        <v>7000</v>
      </c>
      <c r="L60" s="6">
        <v>1750</v>
      </c>
      <c r="M60" s="7">
        <v>0.25</v>
      </c>
    </row>
    <row r="61" spans="2:13" x14ac:dyDescent="0.35">
      <c r="B61" s="2" t="s">
        <v>130</v>
      </c>
      <c r="C61" s="2">
        <v>1185732</v>
      </c>
      <c r="D61" s="3">
        <v>44678</v>
      </c>
      <c r="E61" s="2" t="s">
        <v>12</v>
      </c>
      <c r="F61" s="2" t="s">
        <v>13</v>
      </c>
      <c r="G61" s="2" t="s">
        <v>13</v>
      </c>
      <c r="H61" s="2" t="s">
        <v>14</v>
      </c>
      <c r="I61" s="4">
        <v>0.65</v>
      </c>
      <c r="J61" s="5">
        <v>11500</v>
      </c>
      <c r="K61" s="6">
        <v>7475</v>
      </c>
      <c r="L61" s="6">
        <v>3737.5</v>
      </c>
      <c r="M61" s="7">
        <v>0.5</v>
      </c>
    </row>
    <row r="62" spans="2:13" x14ac:dyDescent="0.3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5">
      <c r="B65" s="2" t="s">
        <v>130</v>
      </c>
      <c r="C65" s="2">
        <v>1185732</v>
      </c>
      <c r="D65" s="3">
        <v>44682</v>
      </c>
      <c r="E65" s="2" t="s">
        <v>12</v>
      </c>
      <c r="F65" s="2" t="s">
        <v>13</v>
      </c>
      <c r="G65" s="2" t="s">
        <v>13</v>
      </c>
      <c r="H65" s="2" t="s">
        <v>18</v>
      </c>
      <c r="I65" s="4">
        <v>0.65</v>
      </c>
      <c r="J65" s="5">
        <v>8750</v>
      </c>
      <c r="K65" s="6">
        <v>5687.5</v>
      </c>
      <c r="L65" s="6">
        <v>1706.25</v>
      </c>
      <c r="M65" s="7">
        <v>0.3</v>
      </c>
    </row>
    <row r="66" spans="2:13" x14ac:dyDescent="0.35">
      <c r="B66" s="2" t="s">
        <v>130</v>
      </c>
      <c r="C66" s="2">
        <v>1185732</v>
      </c>
      <c r="D66" s="3">
        <v>44683</v>
      </c>
      <c r="E66" s="2" t="s">
        <v>12</v>
      </c>
      <c r="F66" s="2" t="s">
        <v>13</v>
      </c>
      <c r="G66" s="2" t="s">
        <v>13</v>
      </c>
      <c r="H66" s="2" t="s">
        <v>19</v>
      </c>
      <c r="I66" s="4">
        <v>0.7</v>
      </c>
      <c r="J66" s="5">
        <v>9750</v>
      </c>
      <c r="K66" s="6">
        <v>6825</v>
      </c>
      <c r="L66" s="6">
        <v>1706.25</v>
      </c>
      <c r="M66" s="7">
        <v>0.25</v>
      </c>
    </row>
    <row r="67" spans="2:13" x14ac:dyDescent="0.35">
      <c r="B67" s="2" t="s">
        <v>130</v>
      </c>
      <c r="C67" s="2">
        <v>1185732</v>
      </c>
      <c r="D67" s="3">
        <v>44684</v>
      </c>
      <c r="E67" s="2" t="s">
        <v>12</v>
      </c>
      <c r="F67" s="2" t="s">
        <v>13</v>
      </c>
      <c r="G67" s="2" t="s">
        <v>13</v>
      </c>
      <c r="H67" s="2" t="s">
        <v>14</v>
      </c>
      <c r="I67" s="4">
        <v>0.65</v>
      </c>
      <c r="J67" s="5">
        <v>12000</v>
      </c>
      <c r="K67" s="6">
        <v>7800</v>
      </c>
      <c r="L67" s="6">
        <v>3900</v>
      </c>
      <c r="M67" s="7">
        <v>0.5</v>
      </c>
    </row>
    <row r="68" spans="2:13" x14ac:dyDescent="0.3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5">
      <c r="B71" s="2" t="s">
        <v>130</v>
      </c>
      <c r="C71" s="2">
        <v>1185732</v>
      </c>
      <c r="D71" s="3">
        <v>44688</v>
      </c>
      <c r="E71" s="2" t="s">
        <v>12</v>
      </c>
      <c r="F71" s="2" t="s">
        <v>13</v>
      </c>
      <c r="G71" s="2" t="s">
        <v>13</v>
      </c>
      <c r="H71" s="2" t="s">
        <v>18</v>
      </c>
      <c r="I71" s="4">
        <v>0.65</v>
      </c>
      <c r="J71" s="5">
        <v>9000</v>
      </c>
      <c r="K71" s="6">
        <v>5850</v>
      </c>
      <c r="L71" s="6">
        <v>1755</v>
      </c>
      <c r="M71" s="7">
        <v>0.3</v>
      </c>
    </row>
    <row r="72" spans="2:13" x14ac:dyDescent="0.35">
      <c r="B72" s="2" t="s">
        <v>130</v>
      </c>
      <c r="C72" s="2">
        <v>1185732</v>
      </c>
      <c r="D72" s="3">
        <v>44760</v>
      </c>
      <c r="E72" s="2" t="s">
        <v>12</v>
      </c>
      <c r="F72" s="2" t="s">
        <v>13</v>
      </c>
      <c r="G72" s="2" t="s">
        <v>13</v>
      </c>
      <c r="H72" s="2" t="s">
        <v>19</v>
      </c>
      <c r="I72" s="4">
        <v>0.7</v>
      </c>
      <c r="J72" s="5">
        <v>10000</v>
      </c>
      <c r="K72" s="6">
        <v>7000</v>
      </c>
      <c r="L72" s="6">
        <v>1750</v>
      </c>
      <c r="M72" s="7">
        <v>0.25</v>
      </c>
    </row>
    <row r="73" spans="2:13" x14ac:dyDescent="0.35">
      <c r="B73" s="2" t="s">
        <v>130</v>
      </c>
      <c r="C73" s="2">
        <v>1197831</v>
      </c>
      <c r="D73" s="3">
        <v>44761</v>
      </c>
      <c r="E73" s="2" t="s">
        <v>12</v>
      </c>
      <c r="F73" s="2" t="s">
        <v>13</v>
      </c>
      <c r="G73" s="2" t="s">
        <v>13</v>
      </c>
      <c r="H73" s="2" t="s">
        <v>14</v>
      </c>
      <c r="I73" s="4">
        <v>0.25</v>
      </c>
      <c r="J73" s="5">
        <v>9000</v>
      </c>
      <c r="K73" s="6">
        <v>2250</v>
      </c>
      <c r="L73" s="6">
        <v>787.5</v>
      </c>
      <c r="M73" s="7">
        <v>0.35</v>
      </c>
    </row>
    <row r="74" spans="2:13" x14ac:dyDescent="0.35">
      <c r="B74" s="2" t="s">
        <v>130</v>
      </c>
      <c r="C74" s="2">
        <v>1197831</v>
      </c>
      <c r="D74" s="3">
        <v>44762</v>
      </c>
      <c r="E74" s="2" t="s">
        <v>12</v>
      </c>
      <c r="F74" s="2" t="s">
        <v>13</v>
      </c>
      <c r="G74" s="2" t="s">
        <v>13</v>
      </c>
      <c r="H74" s="2" t="s">
        <v>15</v>
      </c>
      <c r="I74" s="4">
        <v>0.35</v>
      </c>
      <c r="J74" s="5">
        <v>9000</v>
      </c>
      <c r="K74" s="6">
        <v>3150</v>
      </c>
      <c r="L74" s="6">
        <v>1102.5</v>
      </c>
      <c r="M74" s="7">
        <v>0.35</v>
      </c>
    </row>
    <row r="75" spans="2:13" x14ac:dyDescent="0.35">
      <c r="B75" s="2" t="s">
        <v>130</v>
      </c>
      <c r="C75" s="2">
        <v>1197831</v>
      </c>
      <c r="D75" s="3">
        <v>44763</v>
      </c>
      <c r="E75" s="2" t="s">
        <v>12</v>
      </c>
      <c r="F75" s="2" t="s">
        <v>13</v>
      </c>
      <c r="G75" s="2" t="s">
        <v>13</v>
      </c>
      <c r="H75" s="2" t="s">
        <v>16</v>
      </c>
      <c r="I75" s="4">
        <v>0.35</v>
      </c>
      <c r="J75" s="5">
        <v>7000</v>
      </c>
      <c r="K75" s="6">
        <v>2450</v>
      </c>
      <c r="L75" s="6">
        <v>857.5</v>
      </c>
      <c r="M75" s="7">
        <v>0.35</v>
      </c>
    </row>
    <row r="76" spans="2:13" x14ac:dyDescent="0.35">
      <c r="B76" s="2" t="s">
        <v>130</v>
      </c>
      <c r="C76" s="2">
        <v>1197831</v>
      </c>
      <c r="D76" s="3">
        <v>44764</v>
      </c>
      <c r="E76" s="2" t="s">
        <v>12</v>
      </c>
      <c r="F76" s="2" t="s">
        <v>13</v>
      </c>
      <c r="G76" s="2" t="s">
        <v>13</v>
      </c>
      <c r="H76" s="2" t="s">
        <v>17</v>
      </c>
      <c r="I76" s="4">
        <v>0.35</v>
      </c>
      <c r="J76" s="5">
        <v>7000</v>
      </c>
      <c r="K76" s="6">
        <v>2450</v>
      </c>
      <c r="L76" s="6">
        <v>1102.5</v>
      </c>
      <c r="M76" s="7">
        <v>0.45</v>
      </c>
    </row>
    <row r="77" spans="2:13" x14ac:dyDescent="0.35">
      <c r="B77" s="2" t="s">
        <v>130</v>
      </c>
      <c r="C77" s="2">
        <v>1197831</v>
      </c>
      <c r="D77" s="3">
        <v>44765</v>
      </c>
      <c r="E77" s="2" t="s">
        <v>21</v>
      </c>
      <c r="F77" s="2" t="s">
        <v>22</v>
      </c>
      <c r="G77" s="2" t="s">
        <v>23</v>
      </c>
      <c r="H77" s="2" t="s">
        <v>18</v>
      </c>
      <c r="I77" s="4">
        <v>0.4</v>
      </c>
      <c r="J77" s="5">
        <v>5500</v>
      </c>
      <c r="K77" s="6">
        <v>2200</v>
      </c>
      <c r="L77" s="6">
        <v>660</v>
      </c>
      <c r="M77" s="7">
        <v>0.3</v>
      </c>
    </row>
    <row r="78" spans="2:13" x14ac:dyDescent="0.35">
      <c r="B78" s="2" t="s">
        <v>130</v>
      </c>
      <c r="C78" s="2">
        <v>1197831</v>
      </c>
      <c r="D78" s="3">
        <v>44766</v>
      </c>
      <c r="E78" s="2" t="s">
        <v>21</v>
      </c>
      <c r="F78" s="2" t="s">
        <v>22</v>
      </c>
      <c r="G78" s="2" t="s">
        <v>23</v>
      </c>
      <c r="H78" s="2" t="s">
        <v>19</v>
      </c>
      <c r="I78" s="4">
        <v>0.35</v>
      </c>
      <c r="J78" s="5">
        <v>7000</v>
      </c>
      <c r="K78" s="6">
        <v>2450</v>
      </c>
      <c r="L78" s="6">
        <v>1225</v>
      </c>
      <c r="M78" s="7">
        <v>0.5</v>
      </c>
    </row>
    <row r="79" spans="2:13" x14ac:dyDescent="0.35">
      <c r="B79" s="2" t="s">
        <v>130</v>
      </c>
      <c r="C79" s="2">
        <v>1197831</v>
      </c>
      <c r="D79" s="3">
        <v>44767</v>
      </c>
      <c r="E79" s="2" t="s">
        <v>21</v>
      </c>
      <c r="F79" s="2" t="s">
        <v>22</v>
      </c>
      <c r="G79" s="2" t="s">
        <v>23</v>
      </c>
      <c r="H79" s="2" t="s">
        <v>14</v>
      </c>
      <c r="I79" s="4">
        <v>0.25</v>
      </c>
      <c r="J79" s="5">
        <v>8500</v>
      </c>
      <c r="K79" s="6">
        <v>2125</v>
      </c>
      <c r="L79" s="6">
        <v>743.75</v>
      </c>
      <c r="M79" s="7">
        <v>0.35</v>
      </c>
    </row>
    <row r="80" spans="2:13" x14ac:dyDescent="0.35">
      <c r="B80" s="2" t="s">
        <v>130</v>
      </c>
      <c r="C80" s="2">
        <v>1197831</v>
      </c>
      <c r="D80" s="3">
        <v>44768</v>
      </c>
      <c r="E80" s="2" t="s">
        <v>21</v>
      </c>
      <c r="F80" s="2" t="s">
        <v>22</v>
      </c>
      <c r="G80" s="2" t="s">
        <v>23</v>
      </c>
      <c r="H80" s="2" t="s">
        <v>15</v>
      </c>
      <c r="I80" s="4">
        <v>0.35</v>
      </c>
      <c r="J80" s="5">
        <v>8500</v>
      </c>
      <c r="K80" s="6">
        <v>2975</v>
      </c>
      <c r="L80" s="6">
        <v>1041.25</v>
      </c>
      <c r="M80" s="7">
        <v>0.35</v>
      </c>
    </row>
    <row r="81" spans="2:13" x14ac:dyDescent="0.35">
      <c r="B81" s="2" t="s">
        <v>130</v>
      </c>
      <c r="C81" s="2">
        <v>1197831</v>
      </c>
      <c r="D81" s="3">
        <v>44769</v>
      </c>
      <c r="E81" s="2" t="s">
        <v>21</v>
      </c>
      <c r="F81" s="2" t="s">
        <v>22</v>
      </c>
      <c r="G81" s="2" t="s">
        <v>23</v>
      </c>
      <c r="H81" s="2" t="s">
        <v>16</v>
      </c>
      <c r="I81" s="4">
        <v>0.35</v>
      </c>
      <c r="J81" s="5">
        <v>6750</v>
      </c>
      <c r="K81" s="6">
        <v>2362.5</v>
      </c>
      <c r="L81" s="6">
        <v>826.875</v>
      </c>
      <c r="M81" s="7">
        <v>0.35</v>
      </c>
    </row>
    <row r="82" spans="2:13" x14ac:dyDescent="0.35">
      <c r="B82" s="2" t="s">
        <v>130</v>
      </c>
      <c r="C82" s="2">
        <v>1197831</v>
      </c>
      <c r="D82" s="3">
        <v>44770</v>
      </c>
      <c r="E82" s="2" t="s">
        <v>21</v>
      </c>
      <c r="F82" s="2" t="s">
        <v>22</v>
      </c>
      <c r="G82" s="2" t="s">
        <v>23</v>
      </c>
      <c r="H82" s="2" t="s">
        <v>17</v>
      </c>
      <c r="I82" s="4">
        <v>0.35</v>
      </c>
      <c r="J82" s="5">
        <v>6250</v>
      </c>
      <c r="K82" s="6">
        <v>2187.5</v>
      </c>
      <c r="L82" s="6">
        <v>984.375</v>
      </c>
      <c r="M82" s="7">
        <v>0.45</v>
      </c>
    </row>
    <row r="83" spans="2:13" x14ac:dyDescent="0.35">
      <c r="B83" s="2" t="s">
        <v>130</v>
      </c>
      <c r="C83" s="2">
        <v>1197831</v>
      </c>
      <c r="D83" s="3">
        <v>44771</v>
      </c>
      <c r="E83" s="2" t="s">
        <v>21</v>
      </c>
      <c r="F83" s="2" t="s">
        <v>22</v>
      </c>
      <c r="G83" s="2" t="s">
        <v>23</v>
      </c>
      <c r="H83" s="2" t="s">
        <v>18</v>
      </c>
      <c r="I83" s="4">
        <v>0.4</v>
      </c>
      <c r="J83" s="5">
        <v>5000</v>
      </c>
      <c r="K83" s="6">
        <v>2000</v>
      </c>
      <c r="L83" s="6">
        <v>600</v>
      </c>
      <c r="M83" s="7">
        <v>0.3</v>
      </c>
    </row>
    <row r="84" spans="2:13" x14ac:dyDescent="0.35">
      <c r="B84" s="2" t="s">
        <v>130</v>
      </c>
      <c r="C84" s="2">
        <v>1197831</v>
      </c>
      <c r="D84" s="3">
        <v>44772</v>
      </c>
      <c r="E84" s="2" t="s">
        <v>21</v>
      </c>
      <c r="F84" s="2" t="s">
        <v>22</v>
      </c>
      <c r="G84" s="2" t="s">
        <v>23</v>
      </c>
      <c r="H84" s="2" t="s">
        <v>19</v>
      </c>
      <c r="I84" s="4">
        <v>0.35</v>
      </c>
      <c r="J84" s="5">
        <v>7000</v>
      </c>
      <c r="K84" s="6">
        <v>2450</v>
      </c>
      <c r="L84" s="6">
        <v>1225</v>
      </c>
      <c r="M84" s="7">
        <v>0.5</v>
      </c>
    </row>
    <row r="85" spans="2:13" x14ac:dyDescent="0.3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5">
      <c r="B86" s="2" t="s">
        <v>130</v>
      </c>
      <c r="C86" s="2">
        <v>1197831</v>
      </c>
      <c r="D86" s="3">
        <v>44774</v>
      </c>
      <c r="E86" s="2" t="s">
        <v>21</v>
      </c>
      <c r="F86" s="2" t="s">
        <v>22</v>
      </c>
      <c r="G86" s="2" t="s">
        <v>23</v>
      </c>
      <c r="H86" s="2" t="s">
        <v>15</v>
      </c>
      <c r="I86" s="4">
        <v>0.4</v>
      </c>
      <c r="J86" s="5">
        <v>8750</v>
      </c>
      <c r="K86" s="6">
        <v>3500</v>
      </c>
      <c r="L86" s="6">
        <v>1225</v>
      </c>
      <c r="M86" s="7">
        <v>0.35</v>
      </c>
    </row>
    <row r="87" spans="2:13" x14ac:dyDescent="0.35">
      <c r="B87" s="2" t="s">
        <v>130</v>
      </c>
      <c r="C87" s="2">
        <v>1197831</v>
      </c>
      <c r="D87" s="3">
        <v>44775</v>
      </c>
      <c r="E87" s="2" t="s">
        <v>21</v>
      </c>
      <c r="F87" s="2" t="s">
        <v>22</v>
      </c>
      <c r="G87" s="2" t="s">
        <v>23</v>
      </c>
      <c r="H87" s="2" t="s">
        <v>16</v>
      </c>
      <c r="I87" s="4">
        <v>0.35</v>
      </c>
      <c r="J87" s="5">
        <v>7000</v>
      </c>
      <c r="K87" s="6">
        <v>2450</v>
      </c>
      <c r="L87" s="6">
        <v>857.5</v>
      </c>
      <c r="M87" s="7">
        <v>0.35</v>
      </c>
    </row>
    <row r="88" spans="2:13" x14ac:dyDescent="0.35">
      <c r="B88" s="2" t="s">
        <v>127</v>
      </c>
      <c r="C88" s="2">
        <v>1197831</v>
      </c>
      <c r="D88" s="3">
        <v>44776</v>
      </c>
      <c r="E88" s="2" t="s">
        <v>21</v>
      </c>
      <c r="F88" s="2" t="s">
        <v>22</v>
      </c>
      <c r="G88" s="2" t="s">
        <v>23</v>
      </c>
      <c r="H88" s="2" t="s">
        <v>17</v>
      </c>
      <c r="I88" s="4">
        <v>0.4</v>
      </c>
      <c r="J88" s="5">
        <v>6000</v>
      </c>
      <c r="K88" s="6">
        <v>2400</v>
      </c>
      <c r="L88" s="6">
        <v>1080</v>
      </c>
      <c r="M88" s="7">
        <v>0.45</v>
      </c>
    </row>
    <row r="89" spans="2:13" x14ac:dyDescent="0.35">
      <c r="B89" s="2" t="s">
        <v>127</v>
      </c>
      <c r="C89" s="2">
        <v>1197831</v>
      </c>
      <c r="D89" s="3">
        <v>44777</v>
      </c>
      <c r="E89" s="2" t="s">
        <v>21</v>
      </c>
      <c r="F89" s="2" t="s">
        <v>22</v>
      </c>
      <c r="G89" s="2" t="s">
        <v>23</v>
      </c>
      <c r="H89" s="2" t="s">
        <v>18</v>
      </c>
      <c r="I89" s="4">
        <v>0.45</v>
      </c>
      <c r="J89" s="5">
        <v>5000</v>
      </c>
      <c r="K89" s="6">
        <v>2250</v>
      </c>
      <c r="L89" s="6">
        <v>675</v>
      </c>
      <c r="M89" s="7">
        <v>0.3</v>
      </c>
    </row>
    <row r="90" spans="2:13" x14ac:dyDescent="0.35">
      <c r="B90" s="2" t="s">
        <v>127</v>
      </c>
      <c r="C90" s="2">
        <v>1197831</v>
      </c>
      <c r="D90" s="3">
        <v>44778</v>
      </c>
      <c r="E90" s="2" t="s">
        <v>21</v>
      </c>
      <c r="F90" s="2" t="s">
        <v>22</v>
      </c>
      <c r="G90" s="2" t="s">
        <v>23</v>
      </c>
      <c r="H90" s="2" t="s">
        <v>19</v>
      </c>
      <c r="I90" s="4">
        <v>0.4</v>
      </c>
      <c r="J90" s="5">
        <v>6500</v>
      </c>
      <c r="K90" s="6">
        <v>2600</v>
      </c>
      <c r="L90" s="6">
        <v>1300</v>
      </c>
      <c r="M90" s="7">
        <v>0.5</v>
      </c>
    </row>
    <row r="91" spans="2:13" x14ac:dyDescent="0.3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5">
      <c r="B92" s="2" t="s">
        <v>127</v>
      </c>
      <c r="C92" s="2">
        <v>1197831</v>
      </c>
      <c r="D92" s="3">
        <v>44780</v>
      </c>
      <c r="E92" s="2" t="s">
        <v>21</v>
      </c>
      <c r="F92" s="2" t="s">
        <v>22</v>
      </c>
      <c r="G92" s="2" t="s">
        <v>23</v>
      </c>
      <c r="H92" s="2" t="s">
        <v>15</v>
      </c>
      <c r="I92" s="4">
        <v>0.4</v>
      </c>
      <c r="J92" s="5">
        <v>9000</v>
      </c>
      <c r="K92" s="6">
        <v>3600</v>
      </c>
      <c r="L92" s="6">
        <v>1260</v>
      </c>
      <c r="M92" s="7">
        <v>0.35</v>
      </c>
    </row>
    <row r="93" spans="2:13" x14ac:dyDescent="0.35">
      <c r="B93" s="2" t="s">
        <v>127</v>
      </c>
      <c r="C93" s="2">
        <v>1197831</v>
      </c>
      <c r="D93" s="3">
        <v>44781</v>
      </c>
      <c r="E93" s="2" t="s">
        <v>21</v>
      </c>
      <c r="F93" s="2" t="s">
        <v>22</v>
      </c>
      <c r="G93" s="2" t="s">
        <v>23</v>
      </c>
      <c r="H93" s="2" t="s">
        <v>16</v>
      </c>
      <c r="I93" s="4">
        <v>0.35</v>
      </c>
      <c r="J93" s="5">
        <v>7250</v>
      </c>
      <c r="K93" s="6">
        <v>2537.5</v>
      </c>
      <c r="L93" s="6">
        <v>888.125</v>
      </c>
      <c r="M93" s="7">
        <v>0.35</v>
      </c>
    </row>
    <row r="94" spans="2:13" x14ac:dyDescent="0.35">
      <c r="B94" s="2" t="s">
        <v>127</v>
      </c>
      <c r="C94" s="2">
        <v>1197831</v>
      </c>
      <c r="D94" s="3">
        <v>44782</v>
      </c>
      <c r="E94" s="2" t="s">
        <v>21</v>
      </c>
      <c r="F94" s="2" t="s">
        <v>22</v>
      </c>
      <c r="G94" s="2" t="s">
        <v>23</v>
      </c>
      <c r="H94" s="2" t="s">
        <v>17</v>
      </c>
      <c r="I94" s="4">
        <v>0.4</v>
      </c>
      <c r="J94" s="5">
        <v>6250</v>
      </c>
      <c r="K94" s="6">
        <v>2500</v>
      </c>
      <c r="L94" s="6">
        <v>1125</v>
      </c>
      <c r="M94" s="7">
        <v>0.45</v>
      </c>
    </row>
    <row r="95" spans="2:13" x14ac:dyDescent="0.35">
      <c r="B95" s="2" t="s">
        <v>126</v>
      </c>
      <c r="C95" s="2">
        <v>1197831</v>
      </c>
      <c r="D95" s="3">
        <v>44783</v>
      </c>
      <c r="E95" s="2" t="s">
        <v>21</v>
      </c>
      <c r="F95" s="2" t="s">
        <v>22</v>
      </c>
      <c r="G95" s="2" t="s">
        <v>23</v>
      </c>
      <c r="H95" s="2" t="s">
        <v>18</v>
      </c>
      <c r="I95" s="4">
        <v>0.45</v>
      </c>
      <c r="J95" s="5">
        <v>5250</v>
      </c>
      <c r="K95" s="6">
        <v>2362.5</v>
      </c>
      <c r="L95" s="6">
        <v>708.75</v>
      </c>
      <c r="M95" s="7">
        <v>0.3</v>
      </c>
    </row>
    <row r="96" spans="2:13" x14ac:dyDescent="0.35">
      <c r="B96" s="2" t="s">
        <v>126</v>
      </c>
      <c r="C96" s="2">
        <v>1197831</v>
      </c>
      <c r="D96" s="3">
        <v>44784</v>
      </c>
      <c r="E96" s="2" t="s">
        <v>21</v>
      </c>
      <c r="F96" s="2" t="s">
        <v>22</v>
      </c>
      <c r="G96" s="2" t="s">
        <v>23</v>
      </c>
      <c r="H96" s="2" t="s">
        <v>19</v>
      </c>
      <c r="I96" s="4">
        <v>0.4</v>
      </c>
      <c r="J96" s="5">
        <v>8000</v>
      </c>
      <c r="K96" s="6">
        <v>3200</v>
      </c>
      <c r="L96" s="6">
        <v>1600</v>
      </c>
      <c r="M96" s="7">
        <v>0.5</v>
      </c>
    </row>
    <row r="97" spans="2:13" x14ac:dyDescent="0.3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5">
      <c r="B98" s="2" t="s">
        <v>126</v>
      </c>
      <c r="C98" s="2">
        <v>1197831</v>
      </c>
      <c r="D98" s="3">
        <v>44786</v>
      </c>
      <c r="E98" s="2" t="s">
        <v>21</v>
      </c>
      <c r="F98" s="2" t="s">
        <v>22</v>
      </c>
      <c r="G98" s="2" t="s">
        <v>23</v>
      </c>
      <c r="H98" s="2" t="s">
        <v>15</v>
      </c>
      <c r="I98" s="4">
        <v>0.4</v>
      </c>
      <c r="J98" s="5">
        <v>9250</v>
      </c>
      <c r="K98" s="6">
        <v>3700</v>
      </c>
      <c r="L98" s="6">
        <v>1295</v>
      </c>
      <c r="M98" s="7">
        <v>0.35</v>
      </c>
    </row>
    <row r="99" spans="2:13" x14ac:dyDescent="0.3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H39"/>
  <sheetViews>
    <sheetView workbookViewId="0">
      <selection activeCell="F5" sqref="F5"/>
    </sheetView>
  </sheetViews>
  <sheetFormatPr defaultRowHeight="15.5" x14ac:dyDescent="0.35"/>
  <cols>
    <col min="1" max="1" width="16.58203125" customWidth="1"/>
    <col min="2" max="2" width="16.08203125" bestFit="1" customWidth="1"/>
    <col min="3" max="3" width="22.75" bestFit="1" customWidth="1"/>
    <col min="4" max="4" width="21.75" bestFit="1" customWidth="1"/>
    <col min="5" max="5" width="21.75" customWidth="1"/>
    <col min="6" max="7" width="31.33203125" customWidth="1"/>
    <col min="8" max="8" width="8.83203125" customWidth="1"/>
    <col min="9" max="9" width="7.83203125" customWidth="1"/>
    <col min="10" max="11" width="8.83203125" customWidth="1"/>
    <col min="12" max="12" width="7.83203125" customWidth="1"/>
    <col min="13" max="19" width="8.83203125" customWidth="1"/>
    <col min="20" max="20" width="9.83203125" customWidth="1"/>
    <col min="21" max="25" width="8.83203125" customWidth="1"/>
    <col min="26" max="26" width="11" bestFit="1" customWidth="1"/>
    <col min="27" max="725" width="10.58203125" bestFit="1" customWidth="1"/>
    <col min="726" max="726" width="11" bestFit="1" customWidth="1"/>
  </cols>
  <sheetData>
    <row r="3" spans="1:4" x14ac:dyDescent="0.35">
      <c r="A3" t="s">
        <v>138</v>
      </c>
      <c r="B3" t="s">
        <v>139</v>
      </c>
      <c r="C3" t="s">
        <v>140</v>
      </c>
      <c r="D3" t="s">
        <v>141</v>
      </c>
    </row>
    <row r="4" spans="1:4" x14ac:dyDescent="0.35">
      <c r="A4" s="17">
        <v>1926700.8000000007</v>
      </c>
      <c r="B4" s="17">
        <v>3862680</v>
      </c>
      <c r="C4" s="22">
        <v>0.46586013986013847</v>
      </c>
      <c r="D4" s="17">
        <v>756866.33399999957</v>
      </c>
    </row>
    <row r="7" spans="1:4" x14ac:dyDescent="0.35">
      <c r="A7" s="15" t="s">
        <v>138</v>
      </c>
      <c r="B7" s="15" t="s">
        <v>144</v>
      </c>
    </row>
    <row r="8" spans="1:4" x14ac:dyDescent="0.35">
      <c r="A8" s="15" t="s">
        <v>142</v>
      </c>
      <c r="B8" t="s">
        <v>145</v>
      </c>
      <c r="C8" t="s">
        <v>146</v>
      </c>
      <c r="D8" t="s">
        <v>143</v>
      </c>
    </row>
    <row r="9" spans="1:4" x14ac:dyDescent="0.35">
      <c r="A9" s="16" t="s">
        <v>14</v>
      </c>
      <c r="B9">
        <v>119252.90000000001</v>
      </c>
      <c r="C9">
        <v>564879.49999999988</v>
      </c>
      <c r="D9">
        <v>684132.39999999991</v>
      </c>
    </row>
    <row r="10" spans="1:4" x14ac:dyDescent="0.35">
      <c r="A10" s="16" t="s">
        <v>19</v>
      </c>
      <c r="B10">
        <v>114618.59999999999</v>
      </c>
      <c r="C10">
        <v>389902.19999999995</v>
      </c>
      <c r="D10">
        <v>504520.79999999993</v>
      </c>
    </row>
    <row r="11" spans="1:4" x14ac:dyDescent="0.35">
      <c r="A11" s="16" t="s">
        <v>15</v>
      </c>
      <c r="B11">
        <v>93165.1</v>
      </c>
      <c r="C11">
        <v>296421.10000000009</v>
      </c>
      <c r="D11">
        <v>389586.20000000007</v>
      </c>
    </row>
    <row r="12" spans="1:4" x14ac:dyDescent="0.35">
      <c r="A12" s="16" t="s">
        <v>17</v>
      </c>
      <c r="B12">
        <v>75959.89999999998</v>
      </c>
      <c r="C12">
        <v>190841.4</v>
      </c>
      <c r="D12">
        <v>266801.3</v>
      </c>
    </row>
    <row r="13" spans="1:4" x14ac:dyDescent="0.35">
      <c r="A13" s="16" t="s">
        <v>18</v>
      </c>
      <c r="B13">
        <v>97841.599999999991</v>
      </c>
      <c r="C13">
        <v>249662.10000000006</v>
      </c>
      <c r="D13">
        <v>347503.70000000007</v>
      </c>
    </row>
    <row r="14" spans="1:4" x14ac:dyDescent="0.35">
      <c r="A14" s="16" t="s">
        <v>16</v>
      </c>
      <c r="B14">
        <v>80287.800000000032</v>
      </c>
      <c r="C14">
        <v>234994.49999999994</v>
      </c>
      <c r="D14">
        <v>315282.3</v>
      </c>
    </row>
    <row r="15" spans="1:4" x14ac:dyDescent="0.35">
      <c r="A15" s="16" t="s">
        <v>143</v>
      </c>
      <c r="B15">
        <v>581125.89999999991</v>
      </c>
      <c r="C15">
        <v>1926700.7999999998</v>
      </c>
      <c r="D15">
        <v>2507826.6999999997</v>
      </c>
    </row>
    <row r="18" spans="1:8" x14ac:dyDescent="0.35">
      <c r="A18" s="15" t="s">
        <v>152</v>
      </c>
      <c r="B18" s="15" t="s">
        <v>153</v>
      </c>
      <c r="C18" t="s">
        <v>138</v>
      </c>
      <c r="D18" t="s">
        <v>151</v>
      </c>
    </row>
    <row r="19" spans="1:8" x14ac:dyDescent="0.35">
      <c r="A19" t="s">
        <v>145</v>
      </c>
      <c r="B19" t="s">
        <v>147</v>
      </c>
      <c r="C19">
        <v>368924.1999999999</v>
      </c>
      <c r="D19">
        <v>0.3983660130718954</v>
      </c>
      <c r="E19" t="str">
        <f>A19</f>
        <v>2022</v>
      </c>
      <c r="F19" t="str">
        <f t="shared" ref="F19:H26" si="0">B19</f>
        <v>Qtr1</v>
      </c>
      <c r="G19">
        <f t="shared" si="0"/>
        <v>368924.1999999999</v>
      </c>
      <c r="H19">
        <f t="shared" si="0"/>
        <v>0.3983660130718954</v>
      </c>
    </row>
    <row r="20" spans="1:8" x14ac:dyDescent="0.35">
      <c r="B20" t="s">
        <v>148</v>
      </c>
      <c r="C20">
        <v>186231.5</v>
      </c>
      <c r="D20">
        <v>0.39063492063492067</v>
      </c>
      <c r="E20">
        <f t="shared" ref="E20:E26" si="1">A20</f>
        <v>0</v>
      </c>
      <c r="F20" t="str">
        <f t="shared" si="0"/>
        <v>Qtr2</v>
      </c>
      <c r="G20">
        <f t="shared" si="0"/>
        <v>186231.5</v>
      </c>
      <c r="H20">
        <f t="shared" si="0"/>
        <v>0.39063492063492067</v>
      </c>
    </row>
    <row r="21" spans="1:8" x14ac:dyDescent="0.35">
      <c r="B21" t="s">
        <v>149</v>
      </c>
      <c r="C21">
        <v>25970.199999999997</v>
      </c>
      <c r="D21">
        <v>0.40266666666666662</v>
      </c>
      <c r="E21">
        <f t="shared" si="1"/>
        <v>0</v>
      </c>
      <c r="F21" t="str">
        <f t="shared" si="0"/>
        <v>Qtr3</v>
      </c>
      <c r="G21">
        <f t="shared" si="0"/>
        <v>25970.199999999997</v>
      </c>
      <c r="H21">
        <f t="shared" si="0"/>
        <v>0.40266666666666662</v>
      </c>
    </row>
    <row r="22" spans="1:8" x14ac:dyDescent="0.35">
      <c r="A22" t="s">
        <v>146</v>
      </c>
      <c r="B22" t="s">
        <v>147</v>
      </c>
      <c r="C22">
        <v>302917.39999999997</v>
      </c>
      <c r="D22">
        <v>0.40524017467249013</v>
      </c>
      <c r="E22" t="str">
        <f t="shared" si="1"/>
        <v>2023</v>
      </c>
      <c r="F22" t="str">
        <f t="shared" si="0"/>
        <v>Qtr1</v>
      </c>
      <c r="G22">
        <f t="shared" si="0"/>
        <v>302917.39999999997</v>
      </c>
      <c r="H22">
        <f t="shared" si="0"/>
        <v>0.40524017467249013</v>
      </c>
    </row>
    <row r="23" spans="1:8" x14ac:dyDescent="0.35">
      <c r="B23" t="s">
        <v>148</v>
      </c>
      <c r="C23">
        <v>406501.3</v>
      </c>
      <c r="D23">
        <v>0.41293333333333443</v>
      </c>
      <c r="E23">
        <f t="shared" si="1"/>
        <v>0</v>
      </c>
      <c r="F23" t="str">
        <f t="shared" si="0"/>
        <v>Qtr2</v>
      </c>
      <c r="G23">
        <f t="shared" si="0"/>
        <v>406501.3</v>
      </c>
      <c r="H23">
        <f t="shared" si="0"/>
        <v>0.41293333333333443</v>
      </c>
    </row>
    <row r="24" spans="1:8" x14ac:dyDescent="0.35">
      <c r="B24" t="s">
        <v>149</v>
      </c>
      <c r="C24">
        <v>479806.80000000005</v>
      </c>
      <c r="D24">
        <v>0.41252212389380666</v>
      </c>
      <c r="E24">
        <f t="shared" si="1"/>
        <v>0</v>
      </c>
      <c r="F24" t="str">
        <f t="shared" si="0"/>
        <v>Qtr3</v>
      </c>
      <c r="G24">
        <f t="shared" si="0"/>
        <v>479806.80000000005</v>
      </c>
      <c r="H24">
        <f t="shared" si="0"/>
        <v>0.41252212389380666</v>
      </c>
    </row>
    <row r="25" spans="1:8" x14ac:dyDescent="0.35">
      <c r="B25" t="s">
        <v>150</v>
      </c>
      <c r="C25">
        <v>737475.3</v>
      </c>
      <c r="D25">
        <v>0.41496815286624206</v>
      </c>
      <c r="E25">
        <f t="shared" si="1"/>
        <v>0</v>
      </c>
      <c r="F25" t="str">
        <f t="shared" si="0"/>
        <v>Qtr4</v>
      </c>
      <c r="G25">
        <f t="shared" si="0"/>
        <v>737475.3</v>
      </c>
      <c r="H25">
        <f t="shared" si="0"/>
        <v>0.41496815286624206</v>
      </c>
    </row>
    <row r="26" spans="1:8" x14ac:dyDescent="0.35">
      <c r="A26" t="s">
        <v>143</v>
      </c>
      <c r="C26">
        <v>2507826.7000000007</v>
      </c>
      <c r="D26">
        <v>0.41045033670033432</v>
      </c>
      <c r="E26" t="str">
        <f t="shared" si="1"/>
        <v>Grand Total</v>
      </c>
      <c r="F26">
        <f t="shared" si="0"/>
        <v>0</v>
      </c>
      <c r="G26">
        <f t="shared" si="0"/>
        <v>2507826.7000000007</v>
      </c>
      <c r="H26">
        <f t="shared" si="0"/>
        <v>0.41045033670033432</v>
      </c>
    </row>
    <row r="31" spans="1:8" x14ac:dyDescent="0.35">
      <c r="A31" s="15" t="s">
        <v>138</v>
      </c>
      <c r="B31" s="15" t="s">
        <v>144</v>
      </c>
    </row>
    <row r="32" spans="1:8" x14ac:dyDescent="0.35">
      <c r="A32" s="15" t="s">
        <v>142</v>
      </c>
      <c r="B32" t="s">
        <v>145</v>
      </c>
      <c r="C32" t="s">
        <v>146</v>
      </c>
      <c r="D32" t="s">
        <v>143</v>
      </c>
    </row>
    <row r="33" spans="1:4" x14ac:dyDescent="0.35">
      <c r="A33" s="16" t="s">
        <v>130</v>
      </c>
      <c r="B33">
        <v>248885</v>
      </c>
      <c r="C33">
        <v>499884</v>
      </c>
      <c r="D33">
        <v>748769</v>
      </c>
    </row>
    <row r="34" spans="1:4" x14ac:dyDescent="0.35">
      <c r="A34" s="16" t="s">
        <v>20</v>
      </c>
      <c r="B34">
        <v>250381.09999999995</v>
      </c>
      <c r="C34">
        <v>540683.80000000005</v>
      </c>
      <c r="D34">
        <v>791064.9</v>
      </c>
    </row>
    <row r="35" spans="1:4" x14ac:dyDescent="0.35">
      <c r="A35" s="16" t="s">
        <v>127</v>
      </c>
      <c r="B35">
        <v>5066.2000000000007</v>
      </c>
      <c r="C35">
        <v>325111</v>
      </c>
      <c r="D35">
        <v>330177.2</v>
      </c>
    </row>
    <row r="36" spans="1:4" x14ac:dyDescent="0.35">
      <c r="A36" s="16" t="s">
        <v>129</v>
      </c>
      <c r="C36">
        <v>172321.8</v>
      </c>
      <c r="D36">
        <v>172321.8</v>
      </c>
    </row>
    <row r="37" spans="1:4" x14ac:dyDescent="0.35">
      <c r="A37" s="16" t="s">
        <v>126</v>
      </c>
      <c r="B37">
        <v>66350.5</v>
      </c>
      <c r="D37">
        <v>66350.5</v>
      </c>
    </row>
    <row r="38" spans="1:4" x14ac:dyDescent="0.35">
      <c r="A38" s="16" t="s">
        <v>128</v>
      </c>
      <c r="B38">
        <v>10443.1</v>
      </c>
      <c r="C38">
        <v>388700.20000000013</v>
      </c>
      <c r="D38">
        <v>399143.3000000001</v>
      </c>
    </row>
    <row r="39" spans="1:4" x14ac:dyDescent="0.35">
      <c r="A39" s="16" t="s">
        <v>143</v>
      </c>
      <c r="B39">
        <v>581125.9</v>
      </c>
      <c r="C39">
        <v>1926700.8000000003</v>
      </c>
      <c r="D39">
        <v>2507826.7000000002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4:N25"/>
  <sheetViews>
    <sheetView showGridLines="0" zoomScale="50" zoomScaleNormal="50" workbookViewId="0">
      <selection activeCell="K45" sqref="K45"/>
    </sheetView>
  </sheetViews>
  <sheetFormatPr defaultColWidth="11.25" defaultRowHeight="15.5" x14ac:dyDescent="0.35"/>
  <cols>
    <col min="1" max="1" width="37.08203125" style="10" customWidth="1"/>
    <col min="2" max="2" width="6.08203125" customWidth="1"/>
    <col min="3" max="3" width="13.83203125" customWidth="1"/>
    <col min="4" max="4" width="12.58203125" customWidth="1"/>
    <col min="5" max="5" width="14.25" customWidth="1"/>
    <col min="6" max="6" width="17.25" customWidth="1"/>
    <col min="7" max="7" width="10.5" customWidth="1"/>
    <col min="8" max="8" width="13.08203125" customWidth="1"/>
    <col min="9" max="9" width="17.83203125" customWidth="1"/>
    <col min="10" max="10" width="17.33203125" customWidth="1"/>
    <col min="11" max="11" width="13.5" customWidth="1"/>
  </cols>
  <sheetData>
    <row r="14" spans="3:14" ht="21" x14ac:dyDescent="0.5">
      <c r="C14" s="13" t="s">
        <v>132</v>
      </c>
      <c r="D14" s="13"/>
      <c r="E14" s="13"/>
      <c r="F14" s="13"/>
      <c r="G14" s="12"/>
      <c r="H14" s="13" t="s">
        <v>131</v>
      </c>
      <c r="I14" s="13"/>
      <c r="J14" s="13"/>
      <c r="K14" s="13"/>
      <c r="L14" s="12"/>
      <c r="M14" s="12"/>
      <c r="N14" s="11"/>
    </row>
    <row r="15" spans="3:14" ht="18.5" x14ac:dyDescent="0.45">
      <c r="C15" s="14" t="s">
        <v>133</v>
      </c>
      <c r="D15" s="14" t="s">
        <v>134</v>
      </c>
      <c r="E15" s="14" t="s">
        <v>135</v>
      </c>
      <c r="F15" s="14" t="s">
        <v>136</v>
      </c>
      <c r="H15" s="14" t="s">
        <v>0</v>
      </c>
      <c r="I15" s="14" t="s">
        <v>134</v>
      </c>
      <c r="J15" s="14" t="s">
        <v>135</v>
      </c>
      <c r="K15" s="14" t="s">
        <v>137</v>
      </c>
    </row>
    <row r="16" spans="3:14" x14ac:dyDescent="0.35">
      <c r="C16" t="str">
        <f>Analyze!A9</f>
        <v>Coca-Cola</v>
      </c>
      <c r="D16" s="17">
        <f>Analyze!B9</f>
        <v>119252.90000000001</v>
      </c>
      <c r="E16" s="17">
        <f>Analyze!C9</f>
        <v>564879.49999999988</v>
      </c>
      <c r="F16" s="17">
        <f>E16-D16</f>
        <v>445626.59999999986</v>
      </c>
      <c r="H16" t="str">
        <f>Analyze!A33</f>
        <v>Amazon</v>
      </c>
      <c r="I16" s="17">
        <f>Analyze!B33</f>
        <v>248885</v>
      </c>
      <c r="J16" s="17">
        <f>Analyze!C33</f>
        <v>499884</v>
      </c>
      <c r="K16" s="17">
        <f>J16-I16</f>
        <v>250999</v>
      </c>
    </row>
    <row r="17" spans="3:11" x14ac:dyDescent="0.35">
      <c r="C17" t="str">
        <f>Analyze!A10</f>
        <v>Dasani Water</v>
      </c>
      <c r="D17" s="17">
        <f>Analyze!B10</f>
        <v>114618.59999999999</v>
      </c>
      <c r="E17" s="17">
        <f>Analyze!C10</f>
        <v>389902.19999999995</v>
      </c>
      <c r="F17" s="17">
        <f t="shared" ref="F17:F22" si="0">E17-D17</f>
        <v>275283.59999999998</v>
      </c>
      <c r="H17" t="str">
        <f>Analyze!A34</f>
        <v>BevCo</v>
      </c>
      <c r="I17" s="17">
        <f>Analyze!B34</f>
        <v>250381.09999999995</v>
      </c>
      <c r="J17" s="17">
        <f>Analyze!C34</f>
        <v>540683.80000000005</v>
      </c>
      <c r="K17" s="17">
        <f t="shared" ref="K17:K22" si="1">J17-I17</f>
        <v>290302.70000000007</v>
      </c>
    </row>
    <row r="18" spans="3:11" x14ac:dyDescent="0.35">
      <c r="C18" t="str">
        <f>Analyze!A11</f>
        <v>Diet Coke</v>
      </c>
      <c r="D18" s="17">
        <f>Analyze!B11</f>
        <v>93165.1</v>
      </c>
      <c r="E18" s="17">
        <f>Analyze!C11</f>
        <v>296421.10000000009</v>
      </c>
      <c r="F18" s="17">
        <f t="shared" si="0"/>
        <v>203256.00000000009</v>
      </c>
      <c r="H18" t="str">
        <f>Analyze!A35</f>
        <v>FizzyCo</v>
      </c>
      <c r="I18" s="17">
        <f>Analyze!B35</f>
        <v>5066.2000000000007</v>
      </c>
      <c r="J18" s="17">
        <f>Analyze!C35</f>
        <v>325111</v>
      </c>
      <c r="K18" s="17">
        <f t="shared" si="1"/>
        <v>320044.79999999999</v>
      </c>
    </row>
    <row r="19" spans="3:11" x14ac:dyDescent="0.35">
      <c r="C19" t="str">
        <f>Analyze!A12</f>
        <v>Fanta</v>
      </c>
      <c r="D19" s="17">
        <f>Analyze!B12</f>
        <v>75959.89999999998</v>
      </c>
      <c r="E19" s="17">
        <f>Analyze!C12</f>
        <v>190841.4</v>
      </c>
      <c r="F19" s="17">
        <f t="shared" si="0"/>
        <v>114881.50000000001</v>
      </c>
      <c r="H19" t="str">
        <f>Analyze!A36</f>
        <v>Target</v>
      </c>
      <c r="I19" s="17">
        <f>Analyze!B36</f>
        <v>0</v>
      </c>
      <c r="J19" s="17">
        <f>Analyze!C36</f>
        <v>172321.8</v>
      </c>
      <c r="K19" s="17">
        <f t="shared" si="1"/>
        <v>172321.8</v>
      </c>
    </row>
    <row r="20" spans="3:11" x14ac:dyDescent="0.35">
      <c r="C20" t="str">
        <f>Analyze!A13</f>
        <v>Powerade</v>
      </c>
      <c r="D20" s="17">
        <f>Analyze!B13</f>
        <v>97841.599999999991</v>
      </c>
      <c r="E20" s="17">
        <f>Analyze!C13</f>
        <v>249662.10000000006</v>
      </c>
      <c r="F20" s="17">
        <f t="shared" si="0"/>
        <v>151820.50000000006</v>
      </c>
      <c r="H20" t="str">
        <f>Analyze!A37</f>
        <v>Walmart</v>
      </c>
      <c r="I20" s="17">
        <f>Analyze!B37</f>
        <v>66350.5</v>
      </c>
      <c r="J20" s="17">
        <f>Analyze!C37</f>
        <v>0</v>
      </c>
      <c r="K20" s="17">
        <f t="shared" si="1"/>
        <v>-66350.5</v>
      </c>
    </row>
    <row r="21" spans="3:11" x14ac:dyDescent="0.35">
      <c r="C21" t="str">
        <f>Analyze!A14</f>
        <v>Sprite</v>
      </c>
      <c r="D21" s="17">
        <f>Analyze!B14</f>
        <v>80287.800000000032</v>
      </c>
      <c r="E21" s="17">
        <f>Analyze!C14</f>
        <v>234994.49999999994</v>
      </c>
      <c r="F21" s="17">
        <f t="shared" si="0"/>
        <v>154706.6999999999</v>
      </c>
      <c r="H21" t="str">
        <f>Analyze!A38</f>
        <v>West Soda</v>
      </c>
      <c r="I21" s="17">
        <f>Analyze!B38</f>
        <v>10443.1</v>
      </c>
      <c r="J21" s="17">
        <f>Analyze!C38</f>
        <v>388700.20000000013</v>
      </c>
      <c r="K21" s="17">
        <f t="shared" si="1"/>
        <v>378257.10000000015</v>
      </c>
    </row>
    <row r="22" spans="3:11" x14ac:dyDescent="0.35">
      <c r="C22" s="20" t="s">
        <v>154</v>
      </c>
      <c r="D22" s="21">
        <f>Analyze!B15</f>
        <v>581125.89999999991</v>
      </c>
      <c r="E22" s="21">
        <f>Analyze!C15</f>
        <v>1926700.7999999998</v>
      </c>
      <c r="F22" s="21">
        <f t="shared" si="0"/>
        <v>1345574.9</v>
      </c>
      <c r="H22" s="18" t="s">
        <v>154</v>
      </c>
      <c r="I22" s="19">
        <f>Analyze!B39</f>
        <v>581125.9</v>
      </c>
      <c r="J22" s="19">
        <f>Analyze!C39</f>
        <v>1926700.8000000003</v>
      </c>
      <c r="K22" s="19">
        <f t="shared" si="1"/>
        <v>1345574.9000000004</v>
      </c>
    </row>
    <row r="25" spans="3:11" ht="21" x14ac:dyDescent="0.5">
      <c r="C25" s="13" t="s">
        <v>155</v>
      </c>
      <c r="D25" s="13"/>
      <c r="E25" s="13"/>
      <c r="F25" s="13"/>
      <c r="G25" s="13"/>
      <c r="H25" s="13"/>
      <c r="I25" s="13"/>
      <c r="J25" s="13"/>
      <c r="K25" s="13"/>
    </row>
  </sheetData>
  <conditionalFormatting sqref="F16:F21">
    <cfRule type="dataBar" priority="2">
      <dataBar>
        <cfvo type="min"/>
        <cfvo type="max"/>
        <color rgb="FF63C384"/>
      </dataBar>
      <extLst>
        <ext xmlns:x14="http://schemas.microsoft.com/office/spreadsheetml/2009/9/main" uri="{B025F937-C7B1-47D3-B67F-A62EFF666E3E}">
          <x14:id>{DA48A429-F0B8-4D1D-9CEE-C94A90F1B126}</x14:id>
        </ext>
      </extLst>
    </cfRule>
  </conditionalFormatting>
  <conditionalFormatting sqref="K16:K21">
    <cfRule type="dataBar" priority="1">
      <dataBar>
        <cfvo type="min"/>
        <cfvo type="max"/>
        <color rgb="FF63C384"/>
      </dataBar>
      <extLst>
        <ext xmlns:x14="http://schemas.microsoft.com/office/spreadsheetml/2009/9/main" uri="{B025F937-C7B1-47D3-B67F-A62EFF666E3E}">
          <x14:id>{68F604F6-114E-4217-9008-68010C062CF4}</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DA48A429-F0B8-4D1D-9CEE-C94A90F1B126}">
            <x14:dataBar minLength="0" maxLength="100" border="1" negativeBarBorderColorSameAsPositive="0">
              <x14:cfvo type="autoMin"/>
              <x14:cfvo type="autoMax"/>
              <x14:borderColor rgb="FF63C384"/>
              <x14:negativeFillColor rgb="FFFF0000"/>
              <x14:negativeBorderColor rgb="FFFF0000"/>
              <x14:axisColor rgb="FF000000"/>
            </x14:dataBar>
          </x14:cfRule>
          <xm:sqref>F16:F21</xm:sqref>
        </x14:conditionalFormatting>
        <x14:conditionalFormatting xmlns:xm="http://schemas.microsoft.com/office/excel/2006/main">
          <x14:cfRule type="dataBar" id="{68F604F6-114E-4217-9008-68010C062CF4}">
            <x14:dataBar minLength="0" maxLength="100" border="1" negativeBarBorderColorSameAsPositive="0">
              <x14:cfvo type="autoMin"/>
              <x14:cfvo type="autoMax"/>
              <x14:borderColor rgb="FF63C384"/>
              <x14:negativeFillColor rgb="FFFF0000"/>
              <x14:negativeBorderColor rgb="FFFF0000"/>
              <x14:axisColor rgb="FF000000"/>
            </x14:dataBar>
          </x14:cfRule>
          <xm:sqref>K16:K21</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Saba Ahmad (Student)</cp:lastModifiedBy>
  <dcterms:created xsi:type="dcterms:W3CDTF">2023-12-18T11:08:00Z</dcterms:created>
  <dcterms:modified xsi:type="dcterms:W3CDTF">2026-02-03T18:18:32Z</dcterms:modified>
</cp:coreProperties>
</file>